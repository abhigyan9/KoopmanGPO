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LLCODE\KoopmanGPO\igpk_grad_sweep_out\"/>
    </mc:Choice>
  </mc:AlternateContent>
  <xr:revisionPtr revIDLastSave="0" documentId="13_ncr:9_{3D0369D9-9B84-4C6A-A1F3-E865D2554CD2}" xr6:coauthVersionLast="47" xr6:coauthVersionMax="47" xr10:uidLastSave="{00000000-0000-0000-0000-000000000000}"/>
  <bookViews>
    <workbookView xWindow="-120" yWindow="-120" windowWidth="51840" windowHeight="21120" xr2:uid="{B922A69C-5618-409C-87A9-6E28F8C61265}"/>
  </bookViews>
  <sheets>
    <sheet name="grad_norm_nested" sheetId="1" r:id="rId1"/>
  </sheets>
  <calcPr calcId="0"/>
</workbook>
</file>

<file path=xl/calcChain.xml><?xml version="1.0" encoding="utf-8"?>
<calcChain xmlns="http://schemas.openxmlformats.org/spreadsheetml/2006/main">
  <c r="F55" i="1" l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E59" i="1"/>
  <c r="E58" i="1"/>
  <c r="E57" i="1"/>
  <c r="E56" i="1"/>
  <c r="E55" i="1"/>
</calcChain>
</file>

<file path=xl/sharedStrings.xml><?xml version="1.0" encoding="utf-8"?>
<sst xmlns="http://schemas.openxmlformats.org/spreadsheetml/2006/main" count="111" uniqueCount="36">
  <si>
    <t>hp_trial</t>
  </si>
  <si>
    <t>z_trial</t>
  </si>
  <si>
    <t>seed_hp</t>
  </si>
  <si>
    <t>seed_Z</t>
  </si>
  <si>
    <t>cost</t>
  </si>
  <si>
    <t>gradZ_frob</t>
  </si>
  <si>
    <t>bound</t>
  </si>
  <si>
    <t>ratio_grad_over_bound</t>
  </si>
  <si>
    <t>gamma1</t>
  </si>
  <si>
    <t>gamma2</t>
  </si>
  <si>
    <t>epsilon</t>
  </si>
  <si>
    <t>G_frob</t>
  </si>
  <si>
    <t>Gplus_frob</t>
  </si>
  <si>
    <t>X_frob</t>
  </si>
  <si>
    <t>phi_sigma_max</t>
  </si>
  <si>
    <t>phi_sigma_min</t>
  </si>
  <si>
    <t>phi_cond</t>
  </si>
  <si>
    <t>phi_plus_sigma_max</t>
  </si>
  <si>
    <t>phi_plus_sigma_min</t>
  </si>
  <si>
    <t>phi_plus_cond</t>
  </si>
  <si>
    <t>G_sigma_max</t>
  </si>
  <si>
    <t>G_sigma_min</t>
  </si>
  <si>
    <t>G_cond</t>
  </si>
  <si>
    <t>Gplus_sigma_max</t>
  </si>
  <si>
    <t>Gplus_sigma_min</t>
  </si>
  <si>
    <t>Gplus_cond</t>
  </si>
  <si>
    <t>nTrain</t>
  </si>
  <si>
    <t>N</t>
  </si>
  <si>
    <t>ns_query</t>
  </si>
  <si>
    <t>device</t>
  </si>
  <si>
    <t>cuda:0</t>
  </si>
  <si>
    <t>Mean</t>
  </si>
  <si>
    <t>Median</t>
  </si>
  <si>
    <t>Standard Deviation (P)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</si>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</sst>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E+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/>
    <xf numFmtId="166" fontId="0" fillId="0" borderId="0" xfId="0" applyNumberForma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7C7C-182D-4BAE-9559-3C4AC1A54E72}">
  <dimension ref="A1:AD59"/>
  <sheetViews>
    <sheetView tabSelected="1" topLeftCell="A25" workbookViewId="0">
      <selection activeCell="T58" sqref="T58"/>
    </sheetView>
  </sheetViews>
  <sheetFormatPr defaultRowHeight="15" x14ac:dyDescent="0.25"/>
  <cols>
    <col min="5" max="6" width="13.5703125" customWidth="1"/>
    <col min="7" max="7" width="15.85546875" customWidth="1"/>
    <col min="8" max="8" width="13.85546875" customWidth="1"/>
    <col min="9" max="9" width="14.7109375" customWidth="1"/>
    <col min="10" max="10" width="16.42578125" customWidth="1"/>
    <col min="11" max="11" width="18" customWidth="1"/>
    <col min="12" max="12" width="13" customWidth="1"/>
    <col min="13" max="13" width="16.5703125" customWidth="1"/>
    <col min="14" max="14" width="14.28515625" customWidth="1"/>
    <col min="15" max="15" width="16.85546875" customWidth="1"/>
    <col min="16" max="16" width="16.140625" customWidth="1"/>
    <col min="17" max="17" width="21" customWidth="1"/>
    <col min="18" max="18" width="23.5703125" customWidth="1"/>
    <col min="19" max="20" width="20.42578125" customWidth="1"/>
    <col min="21" max="21" width="22.28515625" customWidth="1"/>
    <col min="22" max="22" width="23" customWidth="1"/>
    <col min="23" max="23" width="24.42578125" customWidth="1"/>
    <col min="24" max="24" width="16.42578125" customWidth="1"/>
    <col min="25" max="25" width="17.42578125" customWidth="1"/>
    <col min="26" max="26" width="19.285156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0</v>
      </c>
      <c r="B2">
        <v>0</v>
      </c>
      <c r="C2">
        <v>1</v>
      </c>
      <c r="D2">
        <v>77</v>
      </c>
      <c r="E2">
        <v>225.0889435</v>
      </c>
      <c r="F2">
        <v>80.628273010000001</v>
      </c>
      <c r="G2">
        <v>333459432.69999999</v>
      </c>
      <c r="H2" s="1">
        <v>2.4200000000000002E-7</v>
      </c>
      <c r="I2">
        <v>307.10214230000003</v>
      </c>
      <c r="J2">
        <v>307.89038090000003</v>
      </c>
      <c r="K2">
        <v>1016.379395</v>
      </c>
      <c r="L2">
        <v>666.13000490000002</v>
      </c>
      <c r="M2">
        <v>669.1170654</v>
      </c>
      <c r="N2">
        <v>200</v>
      </c>
      <c r="O2">
        <v>243.24345400000001</v>
      </c>
      <c r="P2">
        <v>31.880735399999999</v>
      </c>
      <c r="Q2">
        <v>7.6297941209999998</v>
      </c>
      <c r="R2">
        <v>244.04670719999999</v>
      </c>
      <c r="S2">
        <v>31.777889250000001</v>
      </c>
      <c r="T2">
        <v>7.6797647480000002</v>
      </c>
      <c r="U2">
        <v>248.14358519999999</v>
      </c>
      <c r="V2">
        <v>2.719682932</v>
      </c>
      <c r="W2">
        <v>91.239898679999996</v>
      </c>
      <c r="X2">
        <v>251.83134459999999</v>
      </c>
      <c r="Y2">
        <v>1.85700047</v>
      </c>
      <c r="Z2">
        <v>135.6118927</v>
      </c>
      <c r="AA2">
        <v>200</v>
      </c>
      <c r="AB2">
        <v>100</v>
      </c>
      <c r="AC2">
        <v>20000</v>
      </c>
      <c r="AD2" t="s">
        <v>30</v>
      </c>
    </row>
    <row r="3" spans="1:30" x14ac:dyDescent="0.25">
      <c r="A3">
        <v>0</v>
      </c>
      <c r="B3">
        <v>1</v>
      </c>
      <c r="C3">
        <v>1</v>
      </c>
      <c r="D3">
        <v>110</v>
      </c>
      <c r="E3">
        <v>229.4742737</v>
      </c>
      <c r="F3">
        <v>68.888641359999994</v>
      </c>
      <c r="G3">
        <v>251588079.09999999</v>
      </c>
      <c r="H3" s="1">
        <v>2.7399999999999999E-7</v>
      </c>
      <c r="I3">
        <v>305.50347900000003</v>
      </c>
      <c r="J3">
        <v>306.11517329999998</v>
      </c>
      <c r="K3">
        <v>1148.5710449999999</v>
      </c>
      <c r="L3">
        <v>666.13000490000002</v>
      </c>
      <c r="M3">
        <v>669.1170654</v>
      </c>
      <c r="N3">
        <v>200</v>
      </c>
      <c r="O3">
        <v>241.8637238</v>
      </c>
      <c r="P3">
        <v>33.890590670000002</v>
      </c>
      <c r="Q3">
        <v>7.1366038319999996</v>
      </c>
      <c r="R3">
        <v>242.41136169999999</v>
      </c>
      <c r="S3">
        <v>33.86675262</v>
      </c>
      <c r="T3">
        <v>7.1577978130000002</v>
      </c>
      <c r="U3">
        <v>248.14358519999999</v>
      </c>
      <c r="V3">
        <v>2.719682932</v>
      </c>
      <c r="W3">
        <v>91.239898679999996</v>
      </c>
      <c r="X3">
        <v>251.83134459999999</v>
      </c>
      <c r="Y3">
        <v>1.85700047</v>
      </c>
      <c r="Z3">
        <v>135.6118927</v>
      </c>
      <c r="AA3">
        <v>200</v>
      </c>
      <c r="AB3">
        <v>100</v>
      </c>
      <c r="AC3">
        <v>20000</v>
      </c>
      <c r="AD3" t="s">
        <v>30</v>
      </c>
    </row>
    <row r="4" spans="1:30" x14ac:dyDescent="0.25">
      <c r="A4">
        <v>0</v>
      </c>
      <c r="B4">
        <v>2</v>
      </c>
      <c r="C4">
        <v>1</v>
      </c>
      <c r="D4">
        <v>143</v>
      </c>
      <c r="E4">
        <v>214.57556149999999</v>
      </c>
      <c r="F4">
        <v>45.165470120000002</v>
      </c>
      <c r="G4">
        <v>127145462.7</v>
      </c>
      <c r="H4" s="1">
        <v>3.5499999999999999E-7</v>
      </c>
      <c r="I4">
        <v>315.97760010000002</v>
      </c>
      <c r="J4">
        <v>317.26818850000001</v>
      </c>
      <c r="K4">
        <v>1821.5938719999999</v>
      </c>
      <c r="L4">
        <v>666.13000490000002</v>
      </c>
      <c r="M4">
        <v>669.1170654</v>
      </c>
      <c r="N4">
        <v>200</v>
      </c>
      <c r="O4">
        <v>253.49684139999999</v>
      </c>
      <c r="P4">
        <v>42.680118559999997</v>
      </c>
      <c r="Q4">
        <v>5.9394598009999999</v>
      </c>
      <c r="R4">
        <v>254.91978449999999</v>
      </c>
      <c r="S4">
        <v>42.555477140000001</v>
      </c>
      <c r="T4">
        <v>5.9902930259999998</v>
      </c>
      <c r="U4">
        <v>248.14358519999999</v>
      </c>
      <c r="V4">
        <v>2.719682932</v>
      </c>
      <c r="W4">
        <v>91.239898679999996</v>
      </c>
      <c r="X4">
        <v>251.83134459999999</v>
      </c>
      <c r="Y4">
        <v>1.85700047</v>
      </c>
      <c r="Z4">
        <v>135.6118927</v>
      </c>
      <c r="AA4">
        <v>200</v>
      </c>
      <c r="AB4">
        <v>100</v>
      </c>
      <c r="AC4">
        <v>20000</v>
      </c>
      <c r="AD4" t="s">
        <v>30</v>
      </c>
    </row>
    <row r="5" spans="1:30" x14ac:dyDescent="0.25">
      <c r="A5">
        <v>0</v>
      </c>
      <c r="B5">
        <v>3</v>
      </c>
      <c r="C5">
        <v>1</v>
      </c>
      <c r="D5">
        <v>176</v>
      </c>
      <c r="E5">
        <v>235.4143066</v>
      </c>
      <c r="F5">
        <v>77.558753969999998</v>
      </c>
      <c r="G5">
        <v>194462774.90000001</v>
      </c>
      <c r="H5" s="1">
        <v>3.9900000000000001E-7</v>
      </c>
      <c r="I5">
        <v>304.73315430000002</v>
      </c>
      <c r="J5">
        <v>305.47131350000001</v>
      </c>
      <c r="K5">
        <v>1300.8912350000001</v>
      </c>
      <c r="L5">
        <v>666.13000490000002</v>
      </c>
      <c r="M5">
        <v>669.1170654</v>
      </c>
      <c r="N5">
        <v>200</v>
      </c>
      <c r="O5">
        <v>242.856842</v>
      </c>
      <c r="P5">
        <v>36.06787491</v>
      </c>
      <c r="Q5">
        <v>6.7333283420000001</v>
      </c>
      <c r="R5">
        <v>243.70414729999999</v>
      </c>
      <c r="S5">
        <v>35.995124820000001</v>
      </c>
      <c r="T5">
        <v>6.7704763410000002</v>
      </c>
      <c r="U5">
        <v>248.14358519999999</v>
      </c>
      <c r="V5">
        <v>2.719682932</v>
      </c>
      <c r="W5">
        <v>91.239898679999996</v>
      </c>
      <c r="X5">
        <v>251.83134459999999</v>
      </c>
      <c r="Y5">
        <v>1.85700047</v>
      </c>
      <c r="Z5">
        <v>135.6118927</v>
      </c>
      <c r="AA5">
        <v>200</v>
      </c>
      <c r="AB5">
        <v>100</v>
      </c>
      <c r="AC5">
        <v>20000</v>
      </c>
      <c r="AD5" t="s">
        <v>30</v>
      </c>
    </row>
    <row r="6" spans="1:30" x14ac:dyDescent="0.25">
      <c r="A6">
        <v>0</v>
      </c>
      <c r="B6">
        <v>4</v>
      </c>
      <c r="C6">
        <v>1</v>
      </c>
      <c r="D6">
        <v>209</v>
      </c>
      <c r="E6">
        <v>232.18972780000001</v>
      </c>
      <c r="F6">
        <v>60.160995479999997</v>
      </c>
      <c r="G6">
        <v>116269685.59999999</v>
      </c>
      <c r="H6" s="1">
        <v>5.1699999999999998E-7</v>
      </c>
      <c r="I6">
        <v>318.18927000000002</v>
      </c>
      <c r="J6">
        <v>318.96536250000003</v>
      </c>
      <c r="K6">
        <v>1959.153442</v>
      </c>
      <c r="L6">
        <v>666.13000490000002</v>
      </c>
      <c r="M6">
        <v>669.1170654</v>
      </c>
      <c r="N6">
        <v>200</v>
      </c>
      <c r="O6">
        <v>245.48793029999999</v>
      </c>
      <c r="P6">
        <v>44.26237106</v>
      </c>
      <c r="Q6">
        <v>5.5461993219999997</v>
      </c>
      <c r="R6">
        <v>245.99945070000001</v>
      </c>
      <c r="S6">
        <v>44.216957090000001</v>
      </c>
      <c r="T6">
        <v>5.5634641650000001</v>
      </c>
      <c r="U6">
        <v>248.14358519999999</v>
      </c>
      <c r="V6">
        <v>2.719682932</v>
      </c>
      <c r="W6">
        <v>91.239898679999996</v>
      </c>
      <c r="X6">
        <v>251.83134459999999</v>
      </c>
      <c r="Y6">
        <v>1.85700047</v>
      </c>
      <c r="Z6">
        <v>135.6118927</v>
      </c>
      <c r="AA6">
        <v>200</v>
      </c>
      <c r="AB6">
        <v>100</v>
      </c>
      <c r="AC6">
        <v>20000</v>
      </c>
      <c r="AD6" t="s">
        <v>30</v>
      </c>
    </row>
    <row r="7" spans="1:30" x14ac:dyDescent="0.25">
      <c r="A7">
        <v>1</v>
      </c>
      <c r="B7">
        <v>0</v>
      </c>
      <c r="C7">
        <v>3</v>
      </c>
      <c r="D7">
        <v>112</v>
      </c>
      <c r="E7">
        <v>222.68740840000001</v>
      </c>
      <c r="F7">
        <v>38.555507660000004</v>
      </c>
      <c r="G7">
        <v>175913036</v>
      </c>
      <c r="H7" s="1">
        <v>2.1899999999999999E-7</v>
      </c>
      <c r="I7">
        <v>302.8642883</v>
      </c>
      <c r="J7">
        <v>303.27230830000002</v>
      </c>
      <c r="K7">
        <v>1348.254639</v>
      </c>
      <c r="L7">
        <v>666.13000490000002</v>
      </c>
      <c r="M7">
        <v>669.1170654</v>
      </c>
      <c r="N7">
        <v>200</v>
      </c>
      <c r="O7">
        <v>226.34251399999999</v>
      </c>
      <c r="P7">
        <v>36.718574519999997</v>
      </c>
      <c r="Q7">
        <v>6.1642513279999998</v>
      </c>
      <c r="R7">
        <v>226.72602839999999</v>
      </c>
      <c r="S7">
        <v>36.602512359999999</v>
      </c>
      <c r="T7">
        <v>6.1942749020000001</v>
      </c>
      <c r="U7">
        <v>248.14358519999999</v>
      </c>
      <c r="V7">
        <v>2.719682932</v>
      </c>
      <c r="W7">
        <v>91.239898679999996</v>
      </c>
      <c r="X7">
        <v>251.83134459999999</v>
      </c>
      <c r="Y7">
        <v>1.85700047</v>
      </c>
      <c r="Z7">
        <v>135.6118927</v>
      </c>
      <c r="AA7">
        <v>200</v>
      </c>
      <c r="AB7">
        <v>100</v>
      </c>
      <c r="AC7">
        <v>20000</v>
      </c>
      <c r="AD7" t="s">
        <v>30</v>
      </c>
    </row>
    <row r="8" spans="1:30" x14ac:dyDescent="0.25">
      <c r="A8">
        <v>1</v>
      </c>
      <c r="B8">
        <v>1</v>
      </c>
      <c r="C8">
        <v>3</v>
      </c>
      <c r="D8">
        <v>160</v>
      </c>
      <c r="E8">
        <v>223.7174072</v>
      </c>
      <c r="F8">
        <v>84.363052370000005</v>
      </c>
      <c r="G8">
        <v>306049715.10000002</v>
      </c>
      <c r="H8" s="1">
        <v>2.7599999999999998E-7</v>
      </c>
      <c r="I8">
        <v>300.90573119999999</v>
      </c>
      <c r="J8">
        <v>301.91851810000003</v>
      </c>
      <c r="K8">
        <v>1006.7954099999999</v>
      </c>
      <c r="L8">
        <v>666.13000490000002</v>
      </c>
      <c r="M8">
        <v>669.1170654</v>
      </c>
      <c r="N8">
        <v>200</v>
      </c>
      <c r="O8">
        <v>233.99595640000001</v>
      </c>
      <c r="P8">
        <v>31.730018619999999</v>
      </c>
      <c r="Q8">
        <v>7.3745923040000001</v>
      </c>
      <c r="R8">
        <v>234.70518490000001</v>
      </c>
      <c r="S8">
        <v>31.666599269999999</v>
      </c>
      <c r="T8">
        <v>7.4117584230000002</v>
      </c>
      <c r="U8">
        <v>248.14358519999999</v>
      </c>
      <c r="V8">
        <v>2.719682932</v>
      </c>
      <c r="W8">
        <v>91.239898679999996</v>
      </c>
      <c r="X8">
        <v>251.83134459999999</v>
      </c>
      <c r="Y8">
        <v>1.85700047</v>
      </c>
      <c r="Z8">
        <v>135.6118927</v>
      </c>
      <c r="AA8">
        <v>200</v>
      </c>
      <c r="AB8">
        <v>100</v>
      </c>
      <c r="AC8">
        <v>20000</v>
      </c>
      <c r="AD8" t="s">
        <v>30</v>
      </c>
    </row>
    <row r="9" spans="1:30" x14ac:dyDescent="0.25">
      <c r="A9">
        <v>1</v>
      </c>
      <c r="B9">
        <v>2</v>
      </c>
      <c r="C9">
        <v>3</v>
      </c>
      <c r="D9">
        <v>208</v>
      </c>
      <c r="E9">
        <v>240.3403931</v>
      </c>
      <c r="F9">
        <v>68.087608340000003</v>
      </c>
      <c r="G9">
        <v>166104845.5</v>
      </c>
      <c r="H9" s="1">
        <v>4.0999999999999999E-7</v>
      </c>
      <c r="I9">
        <v>306.58950809999999</v>
      </c>
      <c r="J9">
        <v>307.35147089999998</v>
      </c>
      <c r="K9">
        <v>1437.6625979999999</v>
      </c>
      <c r="L9">
        <v>666.13000490000002</v>
      </c>
      <c r="M9">
        <v>669.1170654</v>
      </c>
      <c r="N9">
        <v>200</v>
      </c>
      <c r="O9">
        <v>240.04576109999999</v>
      </c>
      <c r="P9">
        <v>37.916622160000003</v>
      </c>
      <c r="Q9">
        <v>6.3308844569999998</v>
      </c>
      <c r="R9">
        <v>240.75260929999999</v>
      </c>
      <c r="S9">
        <v>37.695442200000002</v>
      </c>
      <c r="T9">
        <v>6.3867831229999998</v>
      </c>
      <c r="U9">
        <v>248.14358519999999</v>
      </c>
      <c r="V9">
        <v>2.719682932</v>
      </c>
      <c r="W9">
        <v>91.239898679999996</v>
      </c>
      <c r="X9">
        <v>251.83134459999999</v>
      </c>
      <c r="Y9">
        <v>1.85700047</v>
      </c>
      <c r="Z9">
        <v>135.6118927</v>
      </c>
      <c r="AA9">
        <v>200</v>
      </c>
      <c r="AB9">
        <v>100</v>
      </c>
      <c r="AC9">
        <v>20000</v>
      </c>
      <c r="AD9" t="s">
        <v>30</v>
      </c>
    </row>
    <row r="10" spans="1:30" x14ac:dyDescent="0.25">
      <c r="A10">
        <v>1</v>
      </c>
      <c r="B10">
        <v>3</v>
      </c>
      <c r="C10">
        <v>3</v>
      </c>
      <c r="D10">
        <v>256</v>
      </c>
      <c r="E10">
        <v>227.2383423</v>
      </c>
      <c r="F10">
        <v>49.082408909999998</v>
      </c>
      <c r="G10">
        <v>1001814082</v>
      </c>
      <c r="H10" s="1">
        <v>4.9000000000000002E-8</v>
      </c>
      <c r="I10">
        <v>322.18756100000002</v>
      </c>
      <c r="J10">
        <v>323.00741579999999</v>
      </c>
      <c r="K10">
        <v>703.05316159999995</v>
      </c>
      <c r="L10">
        <v>666.13000490000002</v>
      </c>
      <c r="M10">
        <v>669.1170654</v>
      </c>
      <c r="N10">
        <v>200</v>
      </c>
      <c r="O10">
        <v>251.50860599999999</v>
      </c>
      <c r="P10">
        <v>26.515188219999999</v>
      </c>
      <c r="Q10">
        <v>9.4854545590000008</v>
      </c>
      <c r="R10">
        <v>252.4382324</v>
      </c>
      <c r="S10">
        <v>26.42143059</v>
      </c>
      <c r="T10">
        <v>9.5542984010000005</v>
      </c>
      <c r="U10">
        <v>248.14358519999999</v>
      </c>
      <c r="V10">
        <v>2.719682932</v>
      </c>
      <c r="W10">
        <v>91.239898679999996</v>
      </c>
      <c r="X10">
        <v>251.83134459999999</v>
      </c>
      <c r="Y10">
        <v>1.85700047</v>
      </c>
      <c r="Z10">
        <v>135.6118927</v>
      </c>
      <c r="AA10">
        <v>200</v>
      </c>
      <c r="AB10">
        <v>100</v>
      </c>
      <c r="AC10">
        <v>20000</v>
      </c>
      <c r="AD10" t="s">
        <v>30</v>
      </c>
    </row>
    <row r="11" spans="1:30" x14ac:dyDescent="0.25">
      <c r="A11">
        <v>1</v>
      </c>
      <c r="B11">
        <v>4</v>
      </c>
      <c r="C11">
        <v>3</v>
      </c>
      <c r="D11">
        <v>304</v>
      </c>
      <c r="E11">
        <v>239.68951419999999</v>
      </c>
      <c r="F11">
        <v>55.37306976</v>
      </c>
      <c r="G11">
        <v>107383497.2</v>
      </c>
      <c r="H11" s="1">
        <v>5.1600000000000001E-7</v>
      </c>
      <c r="I11">
        <v>319.9949646</v>
      </c>
      <c r="J11">
        <v>320.72177119999998</v>
      </c>
      <c r="K11">
        <v>2094.1376949999999</v>
      </c>
      <c r="L11">
        <v>666.13000490000002</v>
      </c>
      <c r="M11">
        <v>669.1170654</v>
      </c>
      <c r="N11">
        <v>200</v>
      </c>
      <c r="O11">
        <v>237.19612119999999</v>
      </c>
      <c r="P11">
        <v>45.761695860000003</v>
      </c>
      <c r="Q11">
        <v>5.1832895280000004</v>
      </c>
      <c r="R11">
        <v>237.89668270000001</v>
      </c>
      <c r="S11">
        <v>45.646167759999997</v>
      </c>
      <c r="T11">
        <v>5.2117557530000003</v>
      </c>
      <c r="U11">
        <v>248.14358519999999</v>
      </c>
      <c r="V11">
        <v>2.719682932</v>
      </c>
      <c r="W11">
        <v>91.239898679999996</v>
      </c>
      <c r="X11">
        <v>251.83134459999999</v>
      </c>
      <c r="Y11">
        <v>1.85700047</v>
      </c>
      <c r="Z11">
        <v>135.6118927</v>
      </c>
      <c r="AA11">
        <v>200</v>
      </c>
      <c r="AB11">
        <v>100</v>
      </c>
      <c r="AC11">
        <v>20000</v>
      </c>
      <c r="AD11" t="s">
        <v>30</v>
      </c>
    </row>
    <row r="12" spans="1:30" x14ac:dyDescent="0.25">
      <c r="A12">
        <v>2</v>
      </c>
      <c r="B12">
        <v>0</v>
      </c>
      <c r="C12">
        <v>5</v>
      </c>
      <c r="D12">
        <v>147</v>
      </c>
      <c r="E12">
        <v>214.11595149999999</v>
      </c>
      <c r="F12">
        <v>43.994430540000003</v>
      </c>
      <c r="G12">
        <v>192747332.80000001</v>
      </c>
      <c r="H12" s="1">
        <v>2.28E-7</v>
      </c>
      <c r="I12">
        <v>301.78234859999998</v>
      </c>
      <c r="J12">
        <v>302.50067139999999</v>
      </c>
      <c r="K12">
        <v>1274.2186280000001</v>
      </c>
      <c r="L12">
        <v>666.13000490000002</v>
      </c>
      <c r="M12">
        <v>669.1170654</v>
      </c>
      <c r="N12">
        <v>200</v>
      </c>
      <c r="O12">
        <v>238.5167999</v>
      </c>
      <c r="P12">
        <v>35.696166990000002</v>
      </c>
      <c r="Q12">
        <v>6.681860447</v>
      </c>
      <c r="R12">
        <v>239.11224369999999</v>
      </c>
      <c r="S12">
        <v>35.479583740000002</v>
      </c>
      <c r="T12">
        <v>6.7394318579999997</v>
      </c>
      <c r="U12">
        <v>248.14358519999999</v>
      </c>
      <c r="V12">
        <v>2.719682932</v>
      </c>
      <c r="W12">
        <v>91.239898679999996</v>
      </c>
      <c r="X12">
        <v>251.83134459999999</v>
      </c>
      <c r="Y12">
        <v>1.85700047</v>
      </c>
      <c r="Z12">
        <v>135.6118927</v>
      </c>
      <c r="AA12">
        <v>200</v>
      </c>
      <c r="AB12">
        <v>100</v>
      </c>
      <c r="AC12">
        <v>20000</v>
      </c>
      <c r="AD12" t="s">
        <v>30</v>
      </c>
    </row>
    <row r="13" spans="1:30" x14ac:dyDescent="0.25">
      <c r="A13">
        <v>2</v>
      </c>
      <c r="B13">
        <v>1</v>
      </c>
      <c r="C13">
        <v>5</v>
      </c>
      <c r="D13">
        <v>210</v>
      </c>
      <c r="E13">
        <v>220.49047849999999</v>
      </c>
      <c r="F13">
        <v>57.68253326</v>
      </c>
      <c r="G13">
        <v>356896815.80000001</v>
      </c>
      <c r="H13" s="1">
        <v>1.6199999999999999E-7</v>
      </c>
      <c r="I13">
        <v>303.62435909999999</v>
      </c>
      <c r="J13">
        <v>304.32879639999999</v>
      </c>
      <c r="K13">
        <v>957.12902829999996</v>
      </c>
      <c r="L13">
        <v>666.13000490000002</v>
      </c>
      <c r="M13">
        <v>669.1170654</v>
      </c>
      <c r="N13">
        <v>200</v>
      </c>
      <c r="O13">
        <v>233.9527435</v>
      </c>
      <c r="P13">
        <v>30.93747711</v>
      </c>
      <c r="Q13">
        <v>7.5621142389999996</v>
      </c>
      <c r="R13">
        <v>234.59378050000001</v>
      </c>
      <c r="S13">
        <v>30.779579160000001</v>
      </c>
      <c r="T13">
        <v>7.6217346189999997</v>
      </c>
      <c r="U13">
        <v>248.14358519999999</v>
      </c>
      <c r="V13">
        <v>2.719682932</v>
      </c>
      <c r="W13">
        <v>91.239898679999996</v>
      </c>
      <c r="X13">
        <v>251.83134459999999</v>
      </c>
      <c r="Y13">
        <v>1.85700047</v>
      </c>
      <c r="Z13">
        <v>135.6118927</v>
      </c>
      <c r="AA13">
        <v>200</v>
      </c>
      <c r="AB13">
        <v>100</v>
      </c>
      <c r="AC13">
        <v>20000</v>
      </c>
      <c r="AD13" t="s">
        <v>30</v>
      </c>
    </row>
    <row r="14" spans="1:30" x14ac:dyDescent="0.25">
      <c r="A14">
        <v>2</v>
      </c>
      <c r="B14">
        <v>2</v>
      </c>
      <c r="C14">
        <v>5</v>
      </c>
      <c r="D14">
        <v>273</v>
      </c>
      <c r="E14">
        <v>211.41445920000001</v>
      </c>
      <c r="F14">
        <v>80.158081050000007</v>
      </c>
      <c r="G14">
        <v>172772985.59999999</v>
      </c>
      <c r="H14" s="1">
        <v>4.6400000000000003E-7</v>
      </c>
      <c r="I14">
        <v>277.79220579999998</v>
      </c>
      <c r="J14">
        <v>278.35351559999998</v>
      </c>
      <c r="K14">
        <v>1089.4991460000001</v>
      </c>
      <c r="L14">
        <v>666.13000490000002</v>
      </c>
      <c r="M14">
        <v>669.1170654</v>
      </c>
      <c r="N14">
        <v>200</v>
      </c>
      <c r="O14">
        <v>227.24859620000001</v>
      </c>
      <c r="P14">
        <v>33.007556919999999</v>
      </c>
      <c r="Q14">
        <v>6.8847446440000004</v>
      </c>
      <c r="R14">
        <v>227.98007200000001</v>
      </c>
      <c r="S14">
        <v>32.973480219999999</v>
      </c>
      <c r="T14">
        <v>6.9140434270000002</v>
      </c>
      <c r="U14">
        <v>248.14358519999999</v>
      </c>
      <c r="V14">
        <v>2.719682932</v>
      </c>
      <c r="W14">
        <v>91.239898679999996</v>
      </c>
      <c r="X14">
        <v>251.83134459999999</v>
      </c>
      <c r="Y14">
        <v>1.85700047</v>
      </c>
      <c r="Z14">
        <v>135.6118927</v>
      </c>
      <c r="AA14">
        <v>200</v>
      </c>
      <c r="AB14">
        <v>100</v>
      </c>
      <c r="AC14">
        <v>20000</v>
      </c>
      <c r="AD14" t="s">
        <v>30</v>
      </c>
    </row>
    <row r="15" spans="1:30" x14ac:dyDescent="0.25">
      <c r="A15">
        <v>2</v>
      </c>
      <c r="B15">
        <v>3</v>
      </c>
      <c r="C15">
        <v>5</v>
      </c>
      <c r="D15">
        <v>336</v>
      </c>
      <c r="E15">
        <v>232.44479369999999</v>
      </c>
      <c r="F15">
        <v>46.453422549999999</v>
      </c>
      <c r="G15">
        <v>78424633.939999998</v>
      </c>
      <c r="H15" s="1">
        <v>5.9200000000000001E-7</v>
      </c>
      <c r="I15">
        <v>307.16271970000003</v>
      </c>
      <c r="J15">
        <v>307.81298829999997</v>
      </c>
      <c r="K15">
        <v>2292.436279</v>
      </c>
      <c r="L15">
        <v>666.13000490000002</v>
      </c>
      <c r="M15">
        <v>669.1170654</v>
      </c>
      <c r="N15">
        <v>200</v>
      </c>
      <c r="O15">
        <v>234.0527649</v>
      </c>
      <c r="P15">
        <v>47.879360200000001</v>
      </c>
      <c r="Q15">
        <v>4.888385296</v>
      </c>
      <c r="R15">
        <v>234.53350829999999</v>
      </c>
      <c r="S15">
        <v>47.82089233</v>
      </c>
      <c r="T15">
        <v>4.9044151310000004</v>
      </c>
      <c r="U15">
        <v>248.14358519999999</v>
      </c>
      <c r="V15">
        <v>2.719682932</v>
      </c>
      <c r="W15">
        <v>91.239898679999996</v>
      </c>
      <c r="X15">
        <v>251.83134459999999</v>
      </c>
      <c r="Y15">
        <v>1.85700047</v>
      </c>
      <c r="Z15">
        <v>135.6118927</v>
      </c>
      <c r="AA15">
        <v>200</v>
      </c>
      <c r="AB15">
        <v>100</v>
      </c>
      <c r="AC15">
        <v>20000</v>
      </c>
      <c r="AD15" t="s">
        <v>30</v>
      </c>
    </row>
    <row r="16" spans="1:30" x14ac:dyDescent="0.25">
      <c r="A16">
        <v>2</v>
      </c>
      <c r="B16">
        <v>4</v>
      </c>
      <c r="C16">
        <v>5</v>
      </c>
      <c r="D16">
        <v>399</v>
      </c>
      <c r="E16">
        <v>238.80316160000001</v>
      </c>
      <c r="F16">
        <v>81.841773989999993</v>
      </c>
      <c r="G16">
        <v>488961854</v>
      </c>
      <c r="H16" s="1">
        <v>1.67E-7</v>
      </c>
      <c r="I16">
        <v>308.73593140000003</v>
      </c>
      <c r="J16">
        <v>309.85476679999999</v>
      </c>
      <c r="K16">
        <v>864.87536620000003</v>
      </c>
      <c r="L16">
        <v>666.13000490000002</v>
      </c>
      <c r="M16">
        <v>669.1170654</v>
      </c>
      <c r="N16">
        <v>200</v>
      </c>
      <c r="O16">
        <v>231.55087280000001</v>
      </c>
      <c r="P16">
        <v>29.408739090000001</v>
      </c>
      <c r="Q16">
        <v>7.8735394479999998</v>
      </c>
      <c r="R16">
        <v>232.184494</v>
      </c>
      <c r="S16">
        <v>29.35041618</v>
      </c>
      <c r="T16">
        <v>7.9107732769999997</v>
      </c>
      <c r="U16">
        <v>248.14358519999999</v>
      </c>
      <c r="V16">
        <v>2.719682932</v>
      </c>
      <c r="W16">
        <v>91.239898679999996</v>
      </c>
      <c r="X16">
        <v>251.83134459999999</v>
      </c>
      <c r="Y16">
        <v>1.85700047</v>
      </c>
      <c r="Z16">
        <v>135.6118927</v>
      </c>
      <c r="AA16">
        <v>200</v>
      </c>
      <c r="AB16">
        <v>100</v>
      </c>
      <c r="AC16">
        <v>20000</v>
      </c>
      <c r="AD16" t="s">
        <v>30</v>
      </c>
    </row>
    <row r="17" spans="1:30" x14ac:dyDescent="0.25">
      <c r="A17">
        <v>3</v>
      </c>
      <c r="B17">
        <v>0</v>
      </c>
      <c r="C17">
        <v>7</v>
      </c>
      <c r="D17">
        <v>182</v>
      </c>
      <c r="E17">
        <v>218.5046692</v>
      </c>
      <c r="F17">
        <v>58.322456359999997</v>
      </c>
      <c r="G17">
        <v>334892966.5</v>
      </c>
      <c r="H17" s="1">
        <v>1.74E-7</v>
      </c>
      <c r="I17">
        <v>313.30221560000001</v>
      </c>
      <c r="J17">
        <v>314.19619749999998</v>
      </c>
      <c r="K17">
        <v>1066.3278809999999</v>
      </c>
      <c r="L17">
        <v>666.13000490000002</v>
      </c>
      <c r="M17">
        <v>669.1170654</v>
      </c>
      <c r="N17">
        <v>200</v>
      </c>
      <c r="O17">
        <v>264.79266360000003</v>
      </c>
      <c r="P17">
        <v>32.654712680000003</v>
      </c>
      <c r="Q17">
        <v>8.1088647839999997</v>
      </c>
      <c r="R17">
        <v>265.94296259999999</v>
      </c>
      <c r="S17">
        <v>32.65470886</v>
      </c>
      <c r="T17">
        <v>8.1440925600000007</v>
      </c>
      <c r="U17">
        <v>248.14358519999999</v>
      </c>
      <c r="V17">
        <v>2.719682932</v>
      </c>
      <c r="W17">
        <v>91.239898679999996</v>
      </c>
      <c r="X17">
        <v>251.83134459999999</v>
      </c>
      <c r="Y17">
        <v>1.85700047</v>
      </c>
      <c r="Z17">
        <v>135.6118927</v>
      </c>
      <c r="AA17">
        <v>200</v>
      </c>
      <c r="AB17">
        <v>100</v>
      </c>
      <c r="AC17">
        <v>20000</v>
      </c>
      <c r="AD17" t="s">
        <v>30</v>
      </c>
    </row>
    <row r="18" spans="1:30" x14ac:dyDescent="0.25">
      <c r="A18">
        <v>3</v>
      </c>
      <c r="B18">
        <v>1</v>
      </c>
      <c r="C18">
        <v>7</v>
      </c>
      <c r="D18">
        <v>260</v>
      </c>
      <c r="E18">
        <v>241.040741</v>
      </c>
      <c r="F18">
        <v>71.308677669999994</v>
      </c>
      <c r="G18">
        <v>307338994.5</v>
      </c>
      <c r="H18" s="1">
        <v>2.3200000000000001E-7</v>
      </c>
      <c r="I18">
        <v>314.11795039999998</v>
      </c>
      <c r="J18">
        <v>315.21774290000002</v>
      </c>
      <c r="K18">
        <v>1118.87915</v>
      </c>
      <c r="L18">
        <v>666.13000490000002</v>
      </c>
      <c r="M18">
        <v>669.1170654</v>
      </c>
      <c r="N18">
        <v>200</v>
      </c>
      <c r="O18">
        <v>262.74511719999998</v>
      </c>
      <c r="P18">
        <v>33.449676510000003</v>
      </c>
      <c r="Q18">
        <v>7.8549375530000001</v>
      </c>
      <c r="R18">
        <v>263.9655151</v>
      </c>
      <c r="S18">
        <v>33.342990880000002</v>
      </c>
      <c r="T18">
        <v>7.9166717530000001</v>
      </c>
      <c r="U18">
        <v>248.14358519999999</v>
      </c>
      <c r="V18">
        <v>2.719682932</v>
      </c>
      <c r="W18">
        <v>91.239898679999996</v>
      </c>
      <c r="X18">
        <v>251.83134459999999</v>
      </c>
      <c r="Y18">
        <v>1.85700047</v>
      </c>
      <c r="Z18">
        <v>135.6118927</v>
      </c>
      <c r="AA18">
        <v>200</v>
      </c>
      <c r="AB18">
        <v>100</v>
      </c>
      <c r="AC18">
        <v>20000</v>
      </c>
      <c r="AD18" t="s">
        <v>30</v>
      </c>
    </row>
    <row r="19" spans="1:30" x14ac:dyDescent="0.25">
      <c r="A19">
        <v>3</v>
      </c>
      <c r="B19">
        <v>2</v>
      </c>
      <c r="C19">
        <v>7</v>
      </c>
      <c r="D19">
        <v>338</v>
      </c>
      <c r="E19">
        <v>227.23706050000001</v>
      </c>
      <c r="F19">
        <v>95.580680849999993</v>
      </c>
      <c r="G19">
        <v>408351781</v>
      </c>
      <c r="H19" s="1">
        <v>2.34E-7</v>
      </c>
      <c r="I19">
        <v>303.18218990000003</v>
      </c>
      <c r="J19">
        <v>303.87399290000002</v>
      </c>
      <c r="K19">
        <v>896.55786130000001</v>
      </c>
      <c r="L19">
        <v>666.13000490000002</v>
      </c>
      <c r="M19">
        <v>669.1170654</v>
      </c>
      <c r="N19">
        <v>200</v>
      </c>
      <c r="O19">
        <v>231.49392700000001</v>
      </c>
      <c r="P19">
        <v>29.942554470000001</v>
      </c>
      <c r="Q19">
        <v>7.7312684059999999</v>
      </c>
      <c r="R19">
        <v>231.84465030000001</v>
      </c>
      <c r="S19">
        <v>29.877550129999999</v>
      </c>
      <c r="T19">
        <v>7.7598280910000001</v>
      </c>
      <c r="U19">
        <v>248.14358519999999</v>
      </c>
      <c r="V19">
        <v>2.719682932</v>
      </c>
      <c r="W19">
        <v>91.239898679999996</v>
      </c>
      <c r="X19">
        <v>251.83134459999999</v>
      </c>
      <c r="Y19">
        <v>1.85700047</v>
      </c>
      <c r="Z19">
        <v>135.6118927</v>
      </c>
      <c r="AA19">
        <v>200</v>
      </c>
      <c r="AB19">
        <v>100</v>
      </c>
      <c r="AC19">
        <v>20000</v>
      </c>
      <c r="AD19" t="s">
        <v>30</v>
      </c>
    </row>
    <row r="20" spans="1:30" x14ac:dyDescent="0.25">
      <c r="A20">
        <v>3</v>
      </c>
      <c r="B20">
        <v>3</v>
      </c>
      <c r="C20">
        <v>7</v>
      </c>
      <c r="D20">
        <v>416</v>
      </c>
      <c r="E20">
        <v>210.74365230000001</v>
      </c>
      <c r="F20">
        <v>42.879543300000002</v>
      </c>
      <c r="G20">
        <v>184872427.5</v>
      </c>
      <c r="H20" s="1">
        <v>2.3200000000000001E-7</v>
      </c>
      <c r="I20">
        <v>312.4189758</v>
      </c>
      <c r="J20">
        <v>313.41848750000003</v>
      </c>
      <c r="K20">
        <v>1427.406982</v>
      </c>
      <c r="L20">
        <v>666.13000490000002</v>
      </c>
      <c r="M20">
        <v>669.1170654</v>
      </c>
      <c r="N20">
        <v>200</v>
      </c>
      <c r="O20">
        <v>232.20091249999999</v>
      </c>
      <c r="P20">
        <v>37.781013489999999</v>
      </c>
      <c r="Q20">
        <v>6.1459684369999996</v>
      </c>
      <c r="R20">
        <v>232.95510859999999</v>
      </c>
      <c r="S20">
        <v>37.641529079999998</v>
      </c>
      <c r="T20">
        <v>6.1887788769999998</v>
      </c>
      <c r="U20">
        <v>248.14358519999999</v>
      </c>
      <c r="V20">
        <v>2.719682932</v>
      </c>
      <c r="W20">
        <v>91.239898679999996</v>
      </c>
      <c r="X20">
        <v>251.83134459999999</v>
      </c>
      <c r="Y20">
        <v>1.85700047</v>
      </c>
      <c r="Z20">
        <v>135.6118927</v>
      </c>
      <c r="AA20">
        <v>200</v>
      </c>
      <c r="AB20">
        <v>100</v>
      </c>
      <c r="AC20">
        <v>20000</v>
      </c>
      <c r="AD20" t="s">
        <v>30</v>
      </c>
    </row>
    <row r="21" spans="1:30" x14ac:dyDescent="0.25">
      <c r="A21">
        <v>3</v>
      </c>
      <c r="B21">
        <v>4</v>
      </c>
      <c r="C21">
        <v>7</v>
      </c>
      <c r="D21">
        <v>494</v>
      </c>
      <c r="E21">
        <v>225.0688782</v>
      </c>
      <c r="F21">
        <v>52.830509190000001</v>
      </c>
      <c r="G21">
        <v>118010995.7</v>
      </c>
      <c r="H21" s="1">
        <v>4.4799999999999999E-7</v>
      </c>
      <c r="I21">
        <v>312.72918700000002</v>
      </c>
      <c r="J21">
        <v>313.42501829999998</v>
      </c>
      <c r="K21">
        <v>1847.531982</v>
      </c>
      <c r="L21">
        <v>666.13000490000002</v>
      </c>
      <c r="M21">
        <v>669.1170654</v>
      </c>
      <c r="N21">
        <v>200</v>
      </c>
      <c r="O21">
        <v>256.67761230000002</v>
      </c>
      <c r="P21">
        <v>42.982929230000003</v>
      </c>
      <c r="Q21">
        <v>5.9716176990000003</v>
      </c>
      <c r="R21">
        <v>257.49569700000001</v>
      </c>
      <c r="S21">
        <v>42.875331879999997</v>
      </c>
      <c r="T21">
        <v>6.0056838990000001</v>
      </c>
      <c r="U21">
        <v>248.14358519999999</v>
      </c>
      <c r="V21">
        <v>2.719682932</v>
      </c>
      <c r="W21">
        <v>91.239898679999996</v>
      </c>
      <c r="X21">
        <v>251.83134459999999</v>
      </c>
      <c r="Y21">
        <v>1.85700047</v>
      </c>
      <c r="Z21">
        <v>135.6118927</v>
      </c>
      <c r="AA21">
        <v>200</v>
      </c>
      <c r="AB21">
        <v>100</v>
      </c>
      <c r="AC21">
        <v>20000</v>
      </c>
      <c r="AD21" t="s">
        <v>30</v>
      </c>
    </row>
    <row r="22" spans="1:30" x14ac:dyDescent="0.25">
      <c r="A22">
        <v>4</v>
      </c>
      <c r="B22">
        <v>0</v>
      </c>
      <c r="C22">
        <v>9</v>
      </c>
      <c r="D22">
        <v>217</v>
      </c>
      <c r="E22">
        <v>212.7134399</v>
      </c>
      <c r="F22">
        <v>39.882923130000002</v>
      </c>
      <c r="G22">
        <v>268387886.80000001</v>
      </c>
      <c r="H22" s="1">
        <v>1.49E-7</v>
      </c>
      <c r="I22">
        <v>316.76614380000001</v>
      </c>
      <c r="J22">
        <v>317.5899963</v>
      </c>
      <c r="K22">
        <v>1220.4372559999999</v>
      </c>
      <c r="L22">
        <v>666.13000490000002</v>
      </c>
      <c r="M22">
        <v>669.1170654</v>
      </c>
      <c r="N22">
        <v>200</v>
      </c>
      <c r="O22">
        <v>251.54707339999999</v>
      </c>
      <c r="P22">
        <v>34.934776309999997</v>
      </c>
      <c r="Q22">
        <v>7.2004776000000001</v>
      </c>
      <c r="R22">
        <v>252.3408661</v>
      </c>
      <c r="S22">
        <v>34.862361909999997</v>
      </c>
      <c r="T22">
        <v>7.2382035260000004</v>
      </c>
      <c r="U22">
        <v>248.14358519999999</v>
      </c>
      <c r="V22">
        <v>2.719682932</v>
      </c>
      <c r="W22">
        <v>91.239898679999996</v>
      </c>
      <c r="X22">
        <v>251.83134459999999</v>
      </c>
      <c r="Y22">
        <v>1.85700047</v>
      </c>
      <c r="Z22">
        <v>135.6118927</v>
      </c>
      <c r="AA22">
        <v>200</v>
      </c>
      <c r="AB22">
        <v>100</v>
      </c>
      <c r="AC22">
        <v>20000</v>
      </c>
      <c r="AD22" t="s">
        <v>30</v>
      </c>
    </row>
    <row r="23" spans="1:30" x14ac:dyDescent="0.25">
      <c r="A23">
        <v>4</v>
      </c>
      <c r="B23">
        <v>1</v>
      </c>
      <c r="C23">
        <v>9</v>
      </c>
      <c r="D23">
        <v>310</v>
      </c>
      <c r="E23">
        <v>215.00677490000001</v>
      </c>
      <c r="F23">
        <v>48.13999939</v>
      </c>
      <c r="G23">
        <v>74941241.069999993</v>
      </c>
      <c r="H23" s="1">
        <v>6.4199999999999995E-7</v>
      </c>
      <c r="I23">
        <v>297.13507079999999</v>
      </c>
      <c r="J23">
        <v>297.569458</v>
      </c>
      <c r="K23">
        <v>2138.7749020000001</v>
      </c>
      <c r="L23">
        <v>666.13000490000002</v>
      </c>
      <c r="M23">
        <v>669.1170654</v>
      </c>
      <c r="N23">
        <v>200</v>
      </c>
      <c r="O23">
        <v>241.08320620000001</v>
      </c>
      <c r="P23">
        <v>46.246887209999997</v>
      </c>
      <c r="Q23">
        <v>5.2129607199999999</v>
      </c>
      <c r="R23">
        <v>241.45797730000001</v>
      </c>
      <c r="S23">
        <v>46.060554500000002</v>
      </c>
      <c r="T23">
        <v>5.2421855930000003</v>
      </c>
      <c r="U23">
        <v>248.14358519999999</v>
      </c>
      <c r="V23">
        <v>2.719682932</v>
      </c>
      <c r="W23">
        <v>91.239898679999996</v>
      </c>
      <c r="X23">
        <v>251.83134459999999</v>
      </c>
      <c r="Y23">
        <v>1.85700047</v>
      </c>
      <c r="Z23">
        <v>135.6118927</v>
      </c>
      <c r="AA23">
        <v>200</v>
      </c>
      <c r="AB23">
        <v>100</v>
      </c>
      <c r="AC23">
        <v>20000</v>
      </c>
      <c r="AD23" t="s">
        <v>30</v>
      </c>
    </row>
    <row r="24" spans="1:30" x14ac:dyDescent="0.25">
      <c r="A24">
        <v>4</v>
      </c>
      <c r="B24">
        <v>2</v>
      </c>
      <c r="C24">
        <v>9</v>
      </c>
      <c r="D24">
        <v>403</v>
      </c>
      <c r="E24">
        <v>224.7680359</v>
      </c>
      <c r="F24">
        <v>73.243698120000005</v>
      </c>
      <c r="G24">
        <v>79055212.890000001</v>
      </c>
      <c r="H24" s="1">
        <v>9.2600000000000001E-7</v>
      </c>
      <c r="I24">
        <v>306.20489500000002</v>
      </c>
      <c r="J24">
        <v>306.88790890000001</v>
      </c>
      <c r="K24">
        <v>2258.2551269999999</v>
      </c>
      <c r="L24">
        <v>666.13000490000002</v>
      </c>
      <c r="M24">
        <v>669.1170654</v>
      </c>
      <c r="N24">
        <v>200</v>
      </c>
      <c r="O24">
        <v>245.29237370000001</v>
      </c>
      <c r="P24">
        <v>47.521049499999997</v>
      </c>
      <c r="Q24">
        <v>5.161762714</v>
      </c>
      <c r="R24">
        <v>246.1274109</v>
      </c>
      <c r="S24">
        <v>47.429111480000003</v>
      </c>
      <c r="T24">
        <v>5.1893744469999996</v>
      </c>
      <c r="U24">
        <v>248.14358519999999</v>
      </c>
      <c r="V24">
        <v>2.719682932</v>
      </c>
      <c r="W24">
        <v>91.239898679999996</v>
      </c>
      <c r="X24">
        <v>251.83134459999999</v>
      </c>
      <c r="Y24">
        <v>1.85700047</v>
      </c>
      <c r="Z24">
        <v>135.6118927</v>
      </c>
      <c r="AA24">
        <v>200</v>
      </c>
      <c r="AB24">
        <v>100</v>
      </c>
      <c r="AC24">
        <v>20000</v>
      </c>
      <c r="AD24" t="s">
        <v>30</v>
      </c>
    </row>
    <row r="25" spans="1:30" x14ac:dyDescent="0.25">
      <c r="A25">
        <v>4</v>
      </c>
      <c r="B25">
        <v>3</v>
      </c>
      <c r="C25">
        <v>9</v>
      </c>
      <c r="D25">
        <v>496</v>
      </c>
      <c r="E25">
        <v>236.8164673</v>
      </c>
      <c r="F25">
        <v>73.203506469999994</v>
      </c>
      <c r="G25">
        <v>143958431.09999999</v>
      </c>
      <c r="H25" s="1">
        <v>5.0900000000000002E-7</v>
      </c>
      <c r="I25">
        <v>312.6719971</v>
      </c>
      <c r="J25">
        <v>313.12203979999998</v>
      </c>
      <c r="K25">
        <v>1640.329346</v>
      </c>
      <c r="L25">
        <v>666.13000490000002</v>
      </c>
      <c r="M25">
        <v>669.1170654</v>
      </c>
      <c r="N25">
        <v>200</v>
      </c>
      <c r="O25">
        <v>245.38983150000001</v>
      </c>
      <c r="P25">
        <v>40.500999450000002</v>
      </c>
      <c r="Q25">
        <v>6.058858871</v>
      </c>
      <c r="R25">
        <v>245.7975922</v>
      </c>
      <c r="S25">
        <v>40.429382320000002</v>
      </c>
      <c r="T25">
        <v>6.079677105</v>
      </c>
      <c r="U25">
        <v>248.14358519999999</v>
      </c>
      <c r="V25">
        <v>2.719682932</v>
      </c>
      <c r="W25">
        <v>91.239898679999996</v>
      </c>
      <c r="X25">
        <v>251.83134459999999</v>
      </c>
      <c r="Y25">
        <v>1.85700047</v>
      </c>
      <c r="Z25">
        <v>135.6118927</v>
      </c>
      <c r="AA25">
        <v>200</v>
      </c>
      <c r="AB25">
        <v>100</v>
      </c>
      <c r="AC25">
        <v>20000</v>
      </c>
      <c r="AD25" t="s">
        <v>30</v>
      </c>
    </row>
    <row r="26" spans="1:30" x14ac:dyDescent="0.25">
      <c r="A26">
        <v>4</v>
      </c>
      <c r="B26">
        <v>4</v>
      </c>
      <c r="C26">
        <v>9</v>
      </c>
      <c r="D26">
        <v>589</v>
      </c>
      <c r="E26">
        <v>222.3709412</v>
      </c>
      <c r="F26">
        <v>60.235763550000001</v>
      </c>
      <c r="G26">
        <v>257991735.59999999</v>
      </c>
      <c r="H26" s="1">
        <v>2.3300000000000001E-7</v>
      </c>
      <c r="I26">
        <v>337.97781370000001</v>
      </c>
      <c r="J26">
        <v>338.73898320000001</v>
      </c>
      <c r="K26">
        <v>1472.571533</v>
      </c>
      <c r="L26">
        <v>666.13000490000002</v>
      </c>
      <c r="M26">
        <v>669.1170654</v>
      </c>
      <c r="N26">
        <v>200</v>
      </c>
      <c r="O26">
        <v>264.469696</v>
      </c>
      <c r="P26">
        <v>38.374145509999998</v>
      </c>
      <c r="Q26">
        <v>6.8918719289999997</v>
      </c>
      <c r="R26">
        <v>264.96130369999997</v>
      </c>
      <c r="S26">
        <v>38.490482329999999</v>
      </c>
      <c r="T26">
        <v>6.8838133810000004</v>
      </c>
      <c r="U26">
        <v>248.14358519999999</v>
      </c>
      <c r="V26">
        <v>2.719682932</v>
      </c>
      <c r="W26">
        <v>91.239898679999996</v>
      </c>
      <c r="X26">
        <v>251.83134459999999</v>
      </c>
      <c r="Y26">
        <v>1.85700047</v>
      </c>
      <c r="Z26">
        <v>135.6118927</v>
      </c>
      <c r="AA26">
        <v>200</v>
      </c>
      <c r="AB26">
        <v>100</v>
      </c>
      <c r="AC26">
        <v>20000</v>
      </c>
      <c r="AD26" t="s">
        <v>30</v>
      </c>
    </row>
    <row r="27" spans="1:30" x14ac:dyDescent="0.25">
      <c r="A27">
        <v>5</v>
      </c>
      <c r="B27">
        <v>0</v>
      </c>
      <c r="C27">
        <v>11</v>
      </c>
      <c r="D27">
        <v>252</v>
      </c>
      <c r="E27">
        <v>246.3655243</v>
      </c>
      <c r="F27">
        <v>80.049545289999998</v>
      </c>
      <c r="G27">
        <v>247728086.09999999</v>
      </c>
      <c r="H27" s="1">
        <v>3.2300000000000002E-7</v>
      </c>
      <c r="I27">
        <v>326.34509279999997</v>
      </c>
      <c r="J27">
        <v>327.79635619999999</v>
      </c>
      <c r="K27">
        <v>1374.5661620000001</v>
      </c>
      <c r="L27">
        <v>666.13000490000002</v>
      </c>
      <c r="M27">
        <v>669.1170654</v>
      </c>
      <c r="N27">
        <v>200</v>
      </c>
      <c r="O27">
        <v>243.57286070000001</v>
      </c>
      <c r="P27">
        <v>37.075141909999999</v>
      </c>
      <c r="Q27">
        <v>6.5697083469999997</v>
      </c>
      <c r="R27">
        <v>244.5426788</v>
      </c>
      <c r="S27">
        <v>37.048172000000001</v>
      </c>
      <c r="T27">
        <v>6.6006679530000003</v>
      </c>
      <c r="U27">
        <v>248.14358519999999</v>
      </c>
      <c r="V27">
        <v>2.719682932</v>
      </c>
      <c r="W27">
        <v>91.239898679999996</v>
      </c>
      <c r="X27">
        <v>251.83134459999999</v>
      </c>
      <c r="Y27">
        <v>1.85700047</v>
      </c>
      <c r="Z27">
        <v>135.6118927</v>
      </c>
      <c r="AA27">
        <v>200</v>
      </c>
      <c r="AB27">
        <v>100</v>
      </c>
      <c r="AC27">
        <v>20000</v>
      </c>
      <c r="AD27" t="s">
        <v>30</v>
      </c>
    </row>
    <row r="28" spans="1:30" x14ac:dyDescent="0.25">
      <c r="A28">
        <v>5</v>
      </c>
      <c r="B28">
        <v>1</v>
      </c>
      <c r="C28">
        <v>11</v>
      </c>
      <c r="D28">
        <v>360</v>
      </c>
      <c r="E28">
        <v>211.59671019999999</v>
      </c>
      <c r="F28">
        <v>59.661182400000001</v>
      </c>
      <c r="G28">
        <v>142465475.80000001</v>
      </c>
      <c r="H28" s="1">
        <v>4.1899999999999998E-7</v>
      </c>
      <c r="I28">
        <v>286.8280029</v>
      </c>
      <c r="J28">
        <v>287.46313479999998</v>
      </c>
      <c r="K28">
        <v>1309.8585210000001</v>
      </c>
      <c r="L28">
        <v>666.13000490000002</v>
      </c>
      <c r="M28">
        <v>669.1170654</v>
      </c>
      <c r="N28">
        <v>200</v>
      </c>
      <c r="O28">
        <v>209.0386963</v>
      </c>
      <c r="P28">
        <v>36.191982269999997</v>
      </c>
      <c r="Q28">
        <v>5.7758288379999998</v>
      </c>
      <c r="R28">
        <v>209.3771667</v>
      </c>
      <c r="S28">
        <v>35.899490360000001</v>
      </c>
      <c r="T28">
        <v>5.8323159220000003</v>
      </c>
      <c r="U28">
        <v>248.14358519999999</v>
      </c>
      <c r="V28">
        <v>2.719682932</v>
      </c>
      <c r="W28">
        <v>91.239898679999996</v>
      </c>
      <c r="X28">
        <v>251.83134459999999</v>
      </c>
      <c r="Y28">
        <v>1.85700047</v>
      </c>
      <c r="Z28">
        <v>135.6118927</v>
      </c>
      <c r="AA28">
        <v>200</v>
      </c>
      <c r="AB28">
        <v>100</v>
      </c>
      <c r="AC28">
        <v>20000</v>
      </c>
      <c r="AD28" t="s">
        <v>30</v>
      </c>
    </row>
    <row r="29" spans="1:30" x14ac:dyDescent="0.25">
      <c r="A29">
        <v>5</v>
      </c>
      <c r="B29">
        <v>2</v>
      </c>
      <c r="C29">
        <v>11</v>
      </c>
      <c r="D29">
        <v>468</v>
      </c>
      <c r="E29">
        <v>237.1864319</v>
      </c>
      <c r="F29">
        <v>50.190067290000002</v>
      </c>
      <c r="G29">
        <v>607572443.39999998</v>
      </c>
      <c r="H29" s="1">
        <v>8.2599999999999998E-8</v>
      </c>
      <c r="I29">
        <v>297.97888180000001</v>
      </c>
      <c r="J29">
        <v>298.47210689999997</v>
      </c>
      <c r="K29">
        <v>721.52899170000001</v>
      </c>
      <c r="L29">
        <v>666.13000490000002</v>
      </c>
      <c r="M29">
        <v>669.1170654</v>
      </c>
      <c r="N29">
        <v>200</v>
      </c>
      <c r="O29">
        <v>230.0878601</v>
      </c>
      <c r="P29">
        <v>26.861293790000001</v>
      </c>
      <c r="Q29">
        <v>8.5657768250000004</v>
      </c>
      <c r="R29">
        <v>230.381958</v>
      </c>
      <c r="S29">
        <v>26.700588230000001</v>
      </c>
      <c r="T29">
        <v>8.6283473970000006</v>
      </c>
      <c r="U29">
        <v>248.14358519999999</v>
      </c>
      <c r="V29">
        <v>2.719682932</v>
      </c>
      <c r="W29">
        <v>91.239898679999996</v>
      </c>
      <c r="X29">
        <v>251.83134459999999</v>
      </c>
      <c r="Y29">
        <v>1.85700047</v>
      </c>
      <c r="Z29">
        <v>135.6118927</v>
      </c>
      <c r="AA29">
        <v>200</v>
      </c>
      <c r="AB29">
        <v>100</v>
      </c>
      <c r="AC29">
        <v>20000</v>
      </c>
      <c r="AD29" t="s">
        <v>30</v>
      </c>
    </row>
    <row r="30" spans="1:30" x14ac:dyDescent="0.25">
      <c r="A30">
        <v>5</v>
      </c>
      <c r="B30">
        <v>3</v>
      </c>
      <c r="C30">
        <v>11</v>
      </c>
      <c r="D30">
        <v>576</v>
      </c>
      <c r="E30">
        <v>232.73263549999999</v>
      </c>
      <c r="F30">
        <v>94.130073550000006</v>
      </c>
      <c r="G30">
        <v>902875272.39999998</v>
      </c>
      <c r="H30" s="1">
        <v>1.04E-7</v>
      </c>
      <c r="I30">
        <v>324.56759640000001</v>
      </c>
      <c r="J30">
        <v>325.45681760000002</v>
      </c>
      <c r="K30">
        <v>747.33264159999999</v>
      </c>
      <c r="L30">
        <v>666.13000490000002</v>
      </c>
      <c r="M30">
        <v>669.1170654</v>
      </c>
      <c r="N30">
        <v>200</v>
      </c>
      <c r="O30">
        <v>258.88095090000002</v>
      </c>
      <c r="P30">
        <v>27.337348939999998</v>
      </c>
      <c r="Q30">
        <v>9.4698629380000003</v>
      </c>
      <c r="R30">
        <v>259.73880000000003</v>
      </c>
      <c r="S30">
        <v>27.251403809999999</v>
      </c>
      <c r="T30">
        <v>9.5312080380000008</v>
      </c>
      <c r="U30">
        <v>248.14358519999999</v>
      </c>
      <c r="V30">
        <v>2.719682932</v>
      </c>
      <c r="W30">
        <v>91.239898679999996</v>
      </c>
      <c r="X30">
        <v>251.83134459999999</v>
      </c>
      <c r="Y30">
        <v>1.85700047</v>
      </c>
      <c r="Z30">
        <v>135.6118927</v>
      </c>
      <c r="AA30">
        <v>200</v>
      </c>
      <c r="AB30">
        <v>100</v>
      </c>
      <c r="AC30">
        <v>20000</v>
      </c>
      <c r="AD30" t="s">
        <v>30</v>
      </c>
    </row>
    <row r="31" spans="1:30" x14ac:dyDescent="0.25">
      <c r="A31">
        <v>5</v>
      </c>
      <c r="B31">
        <v>4</v>
      </c>
      <c r="C31">
        <v>11</v>
      </c>
      <c r="D31">
        <v>684</v>
      </c>
      <c r="E31">
        <v>238.16259769999999</v>
      </c>
      <c r="F31">
        <v>89.518882750000003</v>
      </c>
      <c r="G31">
        <v>258010926.69999999</v>
      </c>
      <c r="H31" s="1">
        <v>3.4700000000000002E-7</v>
      </c>
      <c r="I31">
        <v>311.4415894</v>
      </c>
      <c r="J31">
        <v>312.20581049999998</v>
      </c>
      <c r="K31">
        <v>1191.6956789999999</v>
      </c>
      <c r="L31">
        <v>666.13000490000002</v>
      </c>
      <c r="M31">
        <v>669.1170654</v>
      </c>
      <c r="N31">
        <v>200</v>
      </c>
      <c r="O31">
        <v>228.0243988</v>
      </c>
      <c r="P31">
        <v>34.520938870000002</v>
      </c>
      <c r="Q31">
        <v>6.605393887</v>
      </c>
      <c r="R31">
        <v>228.4619141</v>
      </c>
      <c r="S31">
        <v>34.517208099999998</v>
      </c>
      <c r="T31">
        <v>6.6187829970000003</v>
      </c>
      <c r="U31">
        <v>248.14358519999999</v>
      </c>
      <c r="V31">
        <v>2.719682932</v>
      </c>
      <c r="W31">
        <v>91.239898679999996</v>
      </c>
      <c r="X31">
        <v>251.83134459999999</v>
      </c>
      <c r="Y31">
        <v>1.85700047</v>
      </c>
      <c r="Z31">
        <v>135.6118927</v>
      </c>
      <c r="AA31">
        <v>200</v>
      </c>
      <c r="AB31">
        <v>100</v>
      </c>
      <c r="AC31">
        <v>20000</v>
      </c>
      <c r="AD31" t="s">
        <v>30</v>
      </c>
    </row>
    <row r="32" spans="1:30" x14ac:dyDescent="0.25">
      <c r="A32">
        <v>6</v>
      </c>
      <c r="B32">
        <v>0</v>
      </c>
      <c r="C32">
        <v>13</v>
      </c>
      <c r="D32">
        <v>287</v>
      </c>
      <c r="E32">
        <v>235.59329220000001</v>
      </c>
      <c r="F32">
        <v>69.124557499999995</v>
      </c>
      <c r="G32">
        <v>148183777.90000001</v>
      </c>
      <c r="H32" s="1">
        <v>4.6600000000000002E-7</v>
      </c>
      <c r="I32">
        <v>304.4171753</v>
      </c>
      <c r="J32">
        <v>305.37396239999998</v>
      </c>
      <c r="K32">
        <v>1503.134644</v>
      </c>
      <c r="L32">
        <v>666.13000490000002</v>
      </c>
      <c r="M32">
        <v>669.1170654</v>
      </c>
      <c r="N32">
        <v>200</v>
      </c>
      <c r="O32">
        <v>234.55436710000001</v>
      </c>
      <c r="P32">
        <v>38.770236969999999</v>
      </c>
      <c r="Q32">
        <v>6.0498561860000004</v>
      </c>
      <c r="R32">
        <v>235.42935180000001</v>
      </c>
      <c r="S32">
        <v>38.613658909999998</v>
      </c>
      <c r="T32">
        <v>6.0970482830000003</v>
      </c>
      <c r="U32">
        <v>248.14358519999999</v>
      </c>
      <c r="V32">
        <v>2.719682932</v>
      </c>
      <c r="W32">
        <v>91.239898679999996</v>
      </c>
      <c r="X32">
        <v>251.83134459999999</v>
      </c>
      <c r="Y32">
        <v>1.85700047</v>
      </c>
      <c r="Z32">
        <v>135.6118927</v>
      </c>
      <c r="AA32">
        <v>200</v>
      </c>
      <c r="AB32">
        <v>100</v>
      </c>
      <c r="AC32">
        <v>20000</v>
      </c>
      <c r="AD32" t="s">
        <v>30</v>
      </c>
    </row>
    <row r="33" spans="1:30" x14ac:dyDescent="0.25">
      <c r="A33">
        <v>6</v>
      </c>
      <c r="B33">
        <v>1</v>
      </c>
      <c r="C33">
        <v>13</v>
      </c>
      <c r="D33">
        <v>410</v>
      </c>
      <c r="E33">
        <v>226.66232299999999</v>
      </c>
      <c r="F33">
        <v>60.460590359999998</v>
      </c>
      <c r="G33">
        <v>105536358.3</v>
      </c>
      <c r="H33" s="1">
        <v>5.7299999999999996E-7</v>
      </c>
      <c r="I33">
        <v>295.57821660000002</v>
      </c>
      <c r="J33">
        <v>295.93362430000002</v>
      </c>
      <c r="K33">
        <v>1685.8432620000001</v>
      </c>
      <c r="L33">
        <v>666.13000490000002</v>
      </c>
      <c r="M33">
        <v>669.1170654</v>
      </c>
      <c r="N33">
        <v>200</v>
      </c>
      <c r="O33">
        <v>224.73374939999999</v>
      </c>
      <c r="P33">
        <v>41.059036249999998</v>
      </c>
      <c r="Q33">
        <v>5.4734296799999997</v>
      </c>
      <c r="R33">
        <v>224.94226069999999</v>
      </c>
      <c r="S33">
        <v>40.969257349999999</v>
      </c>
      <c r="T33">
        <v>5.4905133250000002</v>
      </c>
      <c r="U33">
        <v>248.14358519999999</v>
      </c>
      <c r="V33">
        <v>2.719682932</v>
      </c>
      <c r="W33">
        <v>91.239898679999996</v>
      </c>
      <c r="X33">
        <v>251.83134459999999</v>
      </c>
      <c r="Y33">
        <v>1.85700047</v>
      </c>
      <c r="Z33">
        <v>135.6118927</v>
      </c>
      <c r="AA33">
        <v>200</v>
      </c>
      <c r="AB33">
        <v>100</v>
      </c>
      <c r="AC33">
        <v>20000</v>
      </c>
      <c r="AD33" t="s">
        <v>30</v>
      </c>
    </row>
    <row r="34" spans="1:30" x14ac:dyDescent="0.25">
      <c r="A34">
        <v>6</v>
      </c>
      <c r="B34">
        <v>2</v>
      </c>
      <c r="C34">
        <v>13</v>
      </c>
      <c r="D34">
        <v>533</v>
      </c>
      <c r="E34">
        <v>215.09463500000001</v>
      </c>
      <c r="F34">
        <v>58.60590363</v>
      </c>
      <c r="G34">
        <v>236743869.80000001</v>
      </c>
      <c r="H34" s="1">
        <v>2.48E-7</v>
      </c>
      <c r="I34">
        <v>328.3837585</v>
      </c>
      <c r="J34">
        <v>329.25003049999998</v>
      </c>
      <c r="K34">
        <v>1427.9724120000001</v>
      </c>
      <c r="L34">
        <v>666.13000490000002</v>
      </c>
      <c r="M34">
        <v>669.1170654</v>
      </c>
      <c r="N34">
        <v>200</v>
      </c>
      <c r="O34">
        <v>249.15274049999999</v>
      </c>
      <c r="P34">
        <v>37.788539890000003</v>
      </c>
      <c r="Q34">
        <v>6.5933413510000003</v>
      </c>
      <c r="R34">
        <v>249.4981689</v>
      </c>
      <c r="S34">
        <v>37.743286130000001</v>
      </c>
      <c r="T34">
        <v>6.6103987689999997</v>
      </c>
      <c r="U34">
        <v>248.14358519999999</v>
      </c>
      <c r="V34">
        <v>2.719682932</v>
      </c>
      <c r="W34">
        <v>91.239898679999996</v>
      </c>
      <c r="X34">
        <v>251.83134459999999</v>
      </c>
      <c r="Y34">
        <v>1.85700047</v>
      </c>
      <c r="Z34">
        <v>135.6118927</v>
      </c>
      <c r="AA34">
        <v>200</v>
      </c>
      <c r="AB34">
        <v>100</v>
      </c>
      <c r="AC34">
        <v>20000</v>
      </c>
      <c r="AD34" t="s">
        <v>30</v>
      </c>
    </row>
    <row r="35" spans="1:30" x14ac:dyDescent="0.25">
      <c r="A35">
        <v>6</v>
      </c>
      <c r="B35">
        <v>3</v>
      </c>
      <c r="C35">
        <v>13</v>
      </c>
      <c r="D35">
        <v>656</v>
      </c>
      <c r="E35">
        <v>237.12390139999999</v>
      </c>
      <c r="F35">
        <v>55.119766239999997</v>
      </c>
      <c r="G35">
        <v>94441467.450000003</v>
      </c>
      <c r="H35" s="1">
        <v>5.8400000000000004E-7</v>
      </c>
      <c r="I35">
        <v>300.29306029999998</v>
      </c>
      <c r="J35">
        <v>301.04306029999998</v>
      </c>
      <c r="K35">
        <v>1892.393677</v>
      </c>
      <c r="L35">
        <v>666.13000490000002</v>
      </c>
      <c r="M35">
        <v>669.1170654</v>
      </c>
      <c r="N35">
        <v>200</v>
      </c>
      <c r="O35">
        <v>227.2061157</v>
      </c>
      <c r="P35">
        <v>43.501644130000003</v>
      </c>
      <c r="Q35">
        <v>5.2229318620000003</v>
      </c>
      <c r="R35">
        <v>227.72866819999999</v>
      </c>
      <c r="S35">
        <v>43.360893249999997</v>
      </c>
      <c r="T35">
        <v>5.2519369129999998</v>
      </c>
      <c r="U35">
        <v>248.14358519999999</v>
      </c>
      <c r="V35">
        <v>2.719682932</v>
      </c>
      <c r="W35">
        <v>91.239898679999996</v>
      </c>
      <c r="X35">
        <v>251.83134459999999</v>
      </c>
      <c r="Y35">
        <v>1.85700047</v>
      </c>
      <c r="Z35">
        <v>135.6118927</v>
      </c>
      <c r="AA35">
        <v>200</v>
      </c>
      <c r="AB35">
        <v>100</v>
      </c>
      <c r="AC35">
        <v>20000</v>
      </c>
      <c r="AD35" t="s">
        <v>30</v>
      </c>
    </row>
    <row r="36" spans="1:30" x14ac:dyDescent="0.25">
      <c r="A36">
        <v>6</v>
      </c>
      <c r="B36">
        <v>4</v>
      </c>
      <c r="C36">
        <v>13</v>
      </c>
      <c r="D36">
        <v>779</v>
      </c>
      <c r="E36">
        <v>200.99777219999999</v>
      </c>
      <c r="F36">
        <v>39.478450780000003</v>
      </c>
      <c r="G36">
        <v>129422913.40000001</v>
      </c>
      <c r="H36" s="1">
        <v>3.0499999999999999E-7</v>
      </c>
      <c r="I36">
        <v>297.45764159999999</v>
      </c>
      <c r="J36">
        <v>297.74822999999998</v>
      </c>
      <c r="K36">
        <v>1521.0908199999999</v>
      </c>
      <c r="L36">
        <v>666.13000490000002</v>
      </c>
      <c r="M36">
        <v>669.1170654</v>
      </c>
      <c r="N36">
        <v>200</v>
      </c>
      <c r="O36">
        <v>235.51277160000001</v>
      </c>
      <c r="P36">
        <v>39.001155850000004</v>
      </c>
      <c r="Q36">
        <v>6.0386099819999997</v>
      </c>
      <c r="R36">
        <v>235.97312930000001</v>
      </c>
      <c r="S36">
        <v>38.794647220000002</v>
      </c>
      <c r="T36">
        <v>6.0826206210000002</v>
      </c>
      <c r="U36">
        <v>248.14358519999999</v>
      </c>
      <c r="V36">
        <v>2.719682932</v>
      </c>
      <c r="W36">
        <v>91.239898679999996</v>
      </c>
      <c r="X36">
        <v>251.83134459999999</v>
      </c>
      <c r="Y36">
        <v>1.85700047</v>
      </c>
      <c r="Z36">
        <v>135.6118927</v>
      </c>
      <c r="AA36">
        <v>200</v>
      </c>
      <c r="AB36">
        <v>100</v>
      </c>
      <c r="AC36">
        <v>20000</v>
      </c>
      <c r="AD36" t="s">
        <v>30</v>
      </c>
    </row>
    <row r="37" spans="1:30" x14ac:dyDescent="0.25">
      <c r="A37">
        <v>7</v>
      </c>
      <c r="B37">
        <v>0</v>
      </c>
      <c r="C37">
        <v>15</v>
      </c>
      <c r="D37">
        <v>322</v>
      </c>
      <c r="E37">
        <v>222.60342410000001</v>
      </c>
      <c r="F37">
        <v>53.00723267</v>
      </c>
      <c r="G37">
        <v>153454944.69999999</v>
      </c>
      <c r="H37" s="1">
        <v>3.4499999999999998E-7</v>
      </c>
      <c r="I37">
        <v>304.62069700000001</v>
      </c>
      <c r="J37">
        <v>305.10208130000001</v>
      </c>
      <c r="K37">
        <v>1474.6635739999999</v>
      </c>
      <c r="L37">
        <v>666.13000490000002</v>
      </c>
      <c r="M37">
        <v>669.1170654</v>
      </c>
      <c r="N37">
        <v>200</v>
      </c>
      <c r="O37">
        <v>230.27326969999999</v>
      </c>
      <c r="P37">
        <v>38.401363369999999</v>
      </c>
      <c r="Q37">
        <v>5.9964866639999999</v>
      </c>
      <c r="R37">
        <v>230.61239620000001</v>
      </c>
      <c r="S37">
        <v>38.181709290000001</v>
      </c>
      <c r="T37">
        <v>6.0398654939999998</v>
      </c>
      <c r="U37">
        <v>248.14358519999999</v>
      </c>
      <c r="V37">
        <v>2.719682932</v>
      </c>
      <c r="W37">
        <v>91.239898679999996</v>
      </c>
      <c r="X37">
        <v>251.83134459999999</v>
      </c>
      <c r="Y37">
        <v>1.85700047</v>
      </c>
      <c r="Z37">
        <v>135.6118927</v>
      </c>
      <c r="AA37">
        <v>200</v>
      </c>
      <c r="AB37">
        <v>100</v>
      </c>
      <c r="AC37">
        <v>20000</v>
      </c>
      <c r="AD37" t="s">
        <v>30</v>
      </c>
    </row>
    <row r="38" spans="1:30" x14ac:dyDescent="0.25">
      <c r="A38">
        <v>7</v>
      </c>
      <c r="B38">
        <v>1</v>
      </c>
      <c r="C38">
        <v>15</v>
      </c>
      <c r="D38">
        <v>460</v>
      </c>
      <c r="E38">
        <v>221.47430420000001</v>
      </c>
      <c r="F38">
        <v>86.353935239999998</v>
      </c>
      <c r="G38">
        <v>392553164.5</v>
      </c>
      <c r="H38" s="1">
        <v>2.2000000000000001E-7</v>
      </c>
      <c r="I38">
        <v>314.62338260000001</v>
      </c>
      <c r="J38">
        <v>315.68682860000001</v>
      </c>
      <c r="K38">
        <v>1000.6201170000001</v>
      </c>
      <c r="L38">
        <v>666.13000490000002</v>
      </c>
      <c r="M38">
        <v>669.1170654</v>
      </c>
      <c r="N38">
        <v>200</v>
      </c>
      <c r="O38">
        <v>254.86866760000001</v>
      </c>
      <c r="P38">
        <v>31.63259506</v>
      </c>
      <c r="Q38">
        <v>8.0571537020000008</v>
      </c>
      <c r="R38">
        <v>256.0311279</v>
      </c>
      <c r="S38">
        <v>31.515771869999998</v>
      </c>
      <c r="T38">
        <v>8.1239051819999997</v>
      </c>
      <c r="U38">
        <v>248.14358519999999</v>
      </c>
      <c r="V38">
        <v>2.719682932</v>
      </c>
      <c r="W38">
        <v>91.239898679999996</v>
      </c>
      <c r="X38">
        <v>251.83134459999999</v>
      </c>
      <c r="Y38">
        <v>1.85700047</v>
      </c>
      <c r="Z38">
        <v>135.6118927</v>
      </c>
      <c r="AA38">
        <v>200</v>
      </c>
      <c r="AB38">
        <v>100</v>
      </c>
      <c r="AC38">
        <v>20000</v>
      </c>
      <c r="AD38" t="s">
        <v>30</v>
      </c>
    </row>
    <row r="39" spans="1:30" x14ac:dyDescent="0.25">
      <c r="A39">
        <v>7</v>
      </c>
      <c r="B39">
        <v>2</v>
      </c>
      <c r="C39">
        <v>15</v>
      </c>
      <c r="D39">
        <v>598</v>
      </c>
      <c r="E39">
        <v>235.38287349999999</v>
      </c>
      <c r="F39">
        <v>61.823600769999999</v>
      </c>
      <c r="G39">
        <v>261130914.09999999</v>
      </c>
      <c r="H39" s="1">
        <v>2.3699999999999999E-7</v>
      </c>
      <c r="I39">
        <v>302.53375240000003</v>
      </c>
      <c r="J39">
        <v>302.7645569</v>
      </c>
      <c r="K39">
        <v>1099.147095</v>
      </c>
      <c r="L39">
        <v>666.13000490000002</v>
      </c>
      <c r="M39">
        <v>669.1170654</v>
      </c>
      <c r="N39">
        <v>200</v>
      </c>
      <c r="O39">
        <v>236.21893309999999</v>
      </c>
      <c r="P39">
        <v>33.153408050000003</v>
      </c>
      <c r="Q39">
        <v>7.12502718</v>
      </c>
      <c r="R39">
        <v>236.5378418</v>
      </c>
      <c r="S39">
        <v>33.021324159999999</v>
      </c>
      <c r="T39">
        <v>7.1631846430000001</v>
      </c>
      <c r="U39">
        <v>248.14358519999999</v>
      </c>
      <c r="V39">
        <v>2.719682932</v>
      </c>
      <c r="W39">
        <v>91.239898679999996</v>
      </c>
      <c r="X39">
        <v>251.83134459999999</v>
      </c>
      <c r="Y39">
        <v>1.85700047</v>
      </c>
      <c r="Z39">
        <v>135.6118927</v>
      </c>
      <c r="AA39">
        <v>200</v>
      </c>
      <c r="AB39">
        <v>100</v>
      </c>
      <c r="AC39">
        <v>20000</v>
      </c>
      <c r="AD39" t="s">
        <v>30</v>
      </c>
    </row>
    <row r="40" spans="1:30" x14ac:dyDescent="0.25">
      <c r="A40">
        <v>7</v>
      </c>
      <c r="B40">
        <v>3</v>
      </c>
      <c r="C40">
        <v>15</v>
      </c>
      <c r="D40">
        <v>736</v>
      </c>
      <c r="E40">
        <v>215.45262149999999</v>
      </c>
      <c r="F40">
        <v>68.543563840000004</v>
      </c>
      <c r="G40">
        <v>156932376</v>
      </c>
      <c r="H40" s="1">
        <v>4.3700000000000001E-7</v>
      </c>
      <c r="I40">
        <v>294.97228999999999</v>
      </c>
      <c r="J40">
        <v>295.33764650000001</v>
      </c>
      <c r="K40">
        <v>1336.984741</v>
      </c>
      <c r="L40">
        <v>666.13000490000002</v>
      </c>
      <c r="M40">
        <v>669.1170654</v>
      </c>
      <c r="N40">
        <v>200</v>
      </c>
      <c r="O40">
        <v>233.638443</v>
      </c>
      <c r="P40">
        <v>36.564788819999997</v>
      </c>
      <c r="Q40">
        <v>6.3897113799999996</v>
      </c>
      <c r="R40">
        <v>234.00520320000001</v>
      </c>
      <c r="S40">
        <v>36.490154269999998</v>
      </c>
      <c r="T40">
        <v>6.4128313060000002</v>
      </c>
      <c r="U40">
        <v>248.14358519999999</v>
      </c>
      <c r="V40">
        <v>2.719682932</v>
      </c>
      <c r="W40">
        <v>91.239898679999996</v>
      </c>
      <c r="X40">
        <v>251.83134459999999</v>
      </c>
      <c r="Y40">
        <v>1.85700047</v>
      </c>
      <c r="Z40">
        <v>135.6118927</v>
      </c>
      <c r="AA40">
        <v>200</v>
      </c>
      <c r="AB40">
        <v>100</v>
      </c>
      <c r="AC40">
        <v>20000</v>
      </c>
      <c r="AD40" t="s">
        <v>30</v>
      </c>
    </row>
    <row r="41" spans="1:30" x14ac:dyDescent="0.25">
      <c r="A41">
        <v>7</v>
      </c>
      <c r="B41">
        <v>4</v>
      </c>
      <c r="C41">
        <v>15</v>
      </c>
      <c r="D41">
        <v>874</v>
      </c>
      <c r="E41">
        <v>216.7958984</v>
      </c>
      <c r="F41">
        <v>52.97497559</v>
      </c>
      <c r="G41">
        <v>124305543.5</v>
      </c>
      <c r="H41" s="1">
        <v>4.2599999999999998E-7</v>
      </c>
      <c r="I41">
        <v>299.34484859999998</v>
      </c>
      <c r="J41">
        <v>299.8799133</v>
      </c>
      <c r="K41">
        <v>1585.1995850000001</v>
      </c>
      <c r="L41">
        <v>666.13000490000002</v>
      </c>
      <c r="M41">
        <v>669.1170654</v>
      </c>
      <c r="N41">
        <v>200</v>
      </c>
      <c r="O41">
        <v>224.52949520000001</v>
      </c>
      <c r="P41">
        <v>39.814537049999998</v>
      </c>
      <c r="Q41">
        <v>5.6393847470000003</v>
      </c>
      <c r="R41">
        <v>224.7219849</v>
      </c>
      <c r="S41">
        <v>39.597446439999999</v>
      </c>
      <c r="T41">
        <v>5.675163746</v>
      </c>
      <c r="U41">
        <v>248.14358519999999</v>
      </c>
      <c r="V41">
        <v>2.719682932</v>
      </c>
      <c r="W41">
        <v>91.239898679999996</v>
      </c>
      <c r="X41">
        <v>251.83134459999999</v>
      </c>
      <c r="Y41">
        <v>1.85700047</v>
      </c>
      <c r="Z41">
        <v>135.6118927</v>
      </c>
      <c r="AA41">
        <v>200</v>
      </c>
      <c r="AB41">
        <v>100</v>
      </c>
      <c r="AC41">
        <v>20000</v>
      </c>
      <c r="AD41" t="s">
        <v>30</v>
      </c>
    </row>
    <row r="42" spans="1:30" x14ac:dyDescent="0.25">
      <c r="A42">
        <v>8</v>
      </c>
      <c r="B42">
        <v>0</v>
      </c>
      <c r="C42">
        <v>17</v>
      </c>
      <c r="D42">
        <v>357</v>
      </c>
      <c r="E42">
        <v>236.2311096</v>
      </c>
      <c r="F42">
        <v>76.726348880000003</v>
      </c>
      <c r="G42">
        <v>238205515.09999999</v>
      </c>
      <c r="H42" s="1">
        <v>3.22E-7</v>
      </c>
      <c r="I42">
        <v>320.40548710000002</v>
      </c>
      <c r="J42">
        <v>320.8865662</v>
      </c>
      <c r="K42">
        <v>1333.5527340000001</v>
      </c>
      <c r="L42">
        <v>666.13000490000002</v>
      </c>
      <c r="M42">
        <v>669.1170654</v>
      </c>
      <c r="N42">
        <v>200</v>
      </c>
      <c r="O42">
        <v>253.7181702</v>
      </c>
      <c r="P42">
        <v>36.517845149999999</v>
      </c>
      <c r="Q42">
        <v>6.9477858540000001</v>
      </c>
      <c r="R42">
        <v>254.300354</v>
      </c>
      <c r="S42">
        <v>36.375415799999999</v>
      </c>
      <c r="T42">
        <v>6.9909949300000003</v>
      </c>
      <c r="U42">
        <v>248.14358519999999</v>
      </c>
      <c r="V42">
        <v>2.719682932</v>
      </c>
      <c r="W42">
        <v>91.239898679999996</v>
      </c>
      <c r="X42">
        <v>251.83134459999999</v>
      </c>
      <c r="Y42">
        <v>1.85700047</v>
      </c>
      <c r="Z42">
        <v>135.6118927</v>
      </c>
      <c r="AA42">
        <v>200</v>
      </c>
      <c r="AB42">
        <v>100</v>
      </c>
      <c r="AC42">
        <v>20000</v>
      </c>
      <c r="AD42" t="s">
        <v>30</v>
      </c>
    </row>
    <row r="43" spans="1:30" x14ac:dyDescent="0.25">
      <c r="A43">
        <v>8</v>
      </c>
      <c r="B43">
        <v>1</v>
      </c>
      <c r="C43">
        <v>17</v>
      </c>
      <c r="D43">
        <v>510</v>
      </c>
      <c r="E43">
        <v>240.7897949</v>
      </c>
      <c r="F43">
        <v>85.514053340000004</v>
      </c>
      <c r="G43">
        <v>1073676424</v>
      </c>
      <c r="H43" s="1">
        <v>7.9599999999999998E-8</v>
      </c>
      <c r="I43">
        <v>311.68667599999998</v>
      </c>
      <c r="J43">
        <v>312.55737299999998</v>
      </c>
      <c r="K43">
        <v>632.17663570000002</v>
      </c>
      <c r="L43">
        <v>666.13000490000002</v>
      </c>
      <c r="M43">
        <v>669.1170654</v>
      </c>
      <c r="N43">
        <v>200</v>
      </c>
      <c r="O43">
        <v>237.52966309999999</v>
      </c>
      <c r="P43">
        <v>25.143125529999999</v>
      </c>
      <c r="Q43">
        <v>9.4471015929999993</v>
      </c>
      <c r="R43">
        <v>238.2728424</v>
      </c>
      <c r="S43">
        <v>25.005094530000001</v>
      </c>
      <c r="T43">
        <v>9.5289716720000008</v>
      </c>
      <c r="U43">
        <v>248.14358519999999</v>
      </c>
      <c r="V43">
        <v>2.719682932</v>
      </c>
      <c r="W43">
        <v>91.239898679999996</v>
      </c>
      <c r="X43">
        <v>251.83134459999999</v>
      </c>
      <c r="Y43">
        <v>1.85700047</v>
      </c>
      <c r="Z43">
        <v>135.6118927</v>
      </c>
      <c r="AA43">
        <v>200</v>
      </c>
      <c r="AB43">
        <v>100</v>
      </c>
      <c r="AC43">
        <v>20000</v>
      </c>
      <c r="AD43" t="s">
        <v>30</v>
      </c>
    </row>
    <row r="44" spans="1:30" x14ac:dyDescent="0.25">
      <c r="A44">
        <v>8</v>
      </c>
      <c r="B44">
        <v>2</v>
      </c>
      <c r="C44">
        <v>17</v>
      </c>
      <c r="D44">
        <v>663</v>
      </c>
      <c r="E44">
        <v>203.3982239</v>
      </c>
      <c r="F44">
        <v>48.22538376</v>
      </c>
      <c r="G44">
        <v>162748971.40000001</v>
      </c>
      <c r="H44" s="1">
        <v>2.96E-7</v>
      </c>
      <c r="I44">
        <v>321.75869749999998</v>
      </c>
      <c r="J44">
        <v>322.57037350000002</v>
      </c>
      <c r="K44">
        <v>1656.0192870000001</v>
      </c>
      <c r="L44">
        <v>666.13000490000002</v>
      </c>
      <c r="M44">
        <v>669.1170654</v>
      </c>
      <c r="N44">
        <v>200</v>
      </c>
      <c r="O44">
        <v>247.92073060000001</v>
      </c>
      <c r="P44">
        <v>40.694168089999998</v>
      </c>
      <c r="Q44">
        <v>6.0922913550000004</v>
      </c>
      <c r="R44">
        <v>248.89031979999999</v>
      </c>
      <c r="S44">
        <v>40.670783999999998</v>
      </c>
      <c r="T44">
        <v>6.1196341509999996</v>
      </c>
      <c r="U44">
        <v>248.14358519999999</v>
      </c>
      <c r="V44">
        <v>2.719682932</v>
      </c>
      <c r="W44">
        <v>91.239898679999996</v>
      </c>
      <c r="X44">
        <v>251.83134459999999</v>
      </c>
      <c r="Y44">
        <v>1.85700047</v>
      </c>
      <c r="Z44">
        <v>135.6118927</v>
      </c>
      <c r="AA44">
        <v>200</v>
      </c>
      <c r="AB44">
        <v>100</v>
      </c>
      <c r="AC44">
        <v>20000</v>
      </c>
      <c r="AD44" t="s">
        <v>30</v>
      </c>
    </row>
    <row r="45" spans="1:30" x14ac:dyDescent="0.25">
      <c r="A45">
        <v>8</v>
      </c>
      <c r="B45">
        <v>3</v>
      </c>
      <c r="C45">
        <v>17</v>
      </c>
      <c r="D45">
        <v>816</v>
      </c>
      <c r="E45">
        <v>207.29727170000001</v>
      </c>
      <c r="F45">
        <v>42.643917080000001</v>
      </c>
      <c r="G45">
        <v>413150090.5</v>
      </c>
      <c r="H45" s="1">
        <v>1.03E-7</v>
      </c>
      <c r="I45">
        <v>322.6622314</v>
      </c>
      <c r="J45">
        <v>323.62942500000003</v>
      </c>
      <c r="K45">
        <v>1039.9061280000001</v>
      </c>
      <c r="L45">
        <v>666.13000490000002</v>
      </c>
      <c r="M45">
        <v>669.1170654</v>
      </c>
      <c r="N45">
        <v>200</v>
      </c>
      <c r="O45">
        <v>253.08975219999999</v>
      </c>
      <c r="P45">
        <v>32.247596739999999</v>
      </c>
      <c r="Q45">
        <v>7.8483290669999999</v>
      </c>
      <c r="R45">
        <v>253.98590089999999</v>
      </c>
      <c r="S45">
        <v>32.126068119999999</v>
      </c>
      <c r="T45">
        <v>7.9059128760000004</v>
      </c>
      <c r="U45">
        <v>248.14358519999999</v>
      </c>
      <c r="V45">
        <v>2.719682932</v>
      </c>
      <c r="W45">
        <v>91.239898679999996</v>
      </c>
      <c r="X45">
        <v>251.83134459999999</v>
      </c>
      <c r="Y45">
        <v>1.85700047</v>
      </c>
      <c r="Z45">
        <v>135.6118927</v>
      </c>
      <c r="AA45">
        <v>200</v>
      </c>
      <c r="AB45">
        <v>100</v>
      </c>
      <c r="AC45">
        <v>20000</v>
      </c>
      <c r="AD45" t="s">
        <v>30</v>
      </c>
    </row>
    <row r="46" spans="1:30" x14ac:dyDescent="0.25">
      <c r="A46">
        <v>8</v>
      </c>
      <c r="B46">
        <v>4</v>
      </c>
      <c r="C46">
        <v>17</v>
      </c>
      <c r="D46">
        <v>969</v>
      </c>
      <c r="E46">
        <v>223.80032349999999</v>
      </c>
      <c r="F46">
        <v>55.326263429999997</v>
      </c>
      <c r="G46">
        <v>198049544.09999999</v>
      </c>
      <c r="H46" s="1">
        <v>2.79E-7</v>
      </c>
      <c r="I46">
        <v>310.83258060000003</v>
      </c>
      <c r="J46">
        <v>311.6985474</v>
      </c>
      <c r="K46">
        <v>1357.384888</v>
      </c>
      <c r="L46">
        <v>666.13000490000002</v>
      </c>
      <c r="M46">
        <v>669.1170654</v>
      </c>
      <c r="N46">
        <v>200</v>
      </c>
      <c r="O46">
        <v>230.68795779999999</v>
      </c>
      <c r="P46">
        <v>36.84266281</v>
      </c>
      <c r="Q46">
        <v>6.261435509</v>
      </c>
      <c r="R46">
        <v>231.0834045</v>
      </c>
      <c r="S46">
        <v>36.78098679</v>
      </c>
      <c r="T46">
        <v>6.2826862339999998</v>
      </c>
      <c r="U46">
        <v>248.14358519999999</v>
      </c>
      <c r="V46">
        <v>2.719682932</v>
      </c>
      <c r="W46">
        <v>91.239898679999996</v>
      </c>
      <c r="X46">
        <v>251.83134459999999</v>
      </c>
      <c r="Y46">
        <v>1.85700047</v>
      </c>
      <c r="Z46">
        <v>135.6118927</v>
      </c>
      <c r="AA46">
        <v>200</v>
      </c>
      <c r="AB46">
        <v>100</v>
      </c>
      <c r="AC46">
        <v>20000</v>
      </c>
      <c r="AD46" t="s">
        <v>30</v>
      </c>
    </row>
    <row r="47" spans="1:30" x14ac:dyDescent="0.25">
      <c r="A47">
        <v>9</v>
      </c>
      <c r="B47">
        <v>0</v>
      </c>
      <c r="C47">
        <v>19</v>
      </c>
      <c r="D47">
        <v>392</v>
      </c>
      <c r="E47">
        <v>228.70057679999999</v>
      </c>
      <c r="F47">
        <v>57.514675140000001</v>
      </c>
      <c r="G47">
        <v>364103457.80000001</v>
      </c>
      <c r="H47" s="1">
        <v>1.5800000000000001E-7</v>
      </c>
      <c r="I47">
        <v>314.74340819999998</v>
      </c>
      <c r="J47">
        <v>315.35415649999999</v>
      </c>
      <c r="K47">
        <v>1036.154663</v>
      </c>
      <c r="L47">
        <v>666.13000490000002</v>
      </c>
      <c r="M47">
        <v>669.1170654</v>
      </c>
      <c r="N47">
        <v>200</v>
      </c>
      <c r="O47">
        <v>252.65707399999999</v>
      </c>
      <c r="P47">
        <v>32.189334870000003</v>
      </c>
      <c r="Q47">
        <v>7.8490924839999998</v>
      </c>
      <c r="R47">
        <v>253.28399659999999</v>
      </c>
      <c r="S47">
        <v>31.941724780000001</v>
      </c>
      <c r="T47">
        <v>7.9295654300000002</v>
      </c>
      <c r="U47">
        <v>248.14358519999999</v>
      </c>
      <c r="V47">
        <v>2.719682932</v>
      </c>
      <c r="W47">
        <v>91.239898679999996</v>
      </c>
      <c r="X47">
        <v>251.83134459999999</v>
      </c>
      <c r="Y47">
        <v>1.85700047</v>
      </c>
      <c r="Z47">
        <v>135.6118927</v>
      </c>
      <c r="AA47">
        <v>200</v>
      </c>
      <c r="AB47">
        <v>100</v>
      </c>
      <c r="AC47">
        <v>20000</v>
      </c>
      <c r="AD47" t="s">
        <v>30</v>
      </c>
    </row>
    <row r="48" spans="1:30" x14ac:dyDescent="0.25">
      <c r="A48">
        <v>9</v>
      </c>
      <c r="B48">
        <v>1</v>
      </c>
      <c r="C48">
        <v>19</v>
      </c>
      <c r="D48">
        <v>560</v>
      </c>
      <c r="E48">
        <v>229.67057800000001</v>
      </c>
      <c r="F48">
        <v>98.296493530000006</v>
      </c>
      <c r="G48">
        <v>383893788.19999999</v>
      </c>
      <c r="H48" s="1">
        <v>2.5600000000000002E-7</v>
      </c>
      <c r="I48">
        <v>308.78549190000001</v>
      </c>
      <c r="J48">
        <v>309.74783330000002</v>
      </c>
      <c r="K48">
        <v>965.15338129999998</v>
      </c>
      <c r="L48">
        <v>666.13000490000002</v>
      </c>
      <c r="M48">
        <v>669.1170654</v>
      </c>
      <c r="N48">
        <v>200</v>
      </c>
      <c r="O48">
        <v>252.17034910000001</v>
      </c>
      <c r="P48">
        <v>31.066894529999999</v>
      </c>
      <c r="Q48">
        <v>8.1170120239999992</v>
      </c>
      <c r="R48">
        <v>253.193161</v>
      </c>
      <c r="S48">
        <v>31.002933500000001</v>
      </c>
      <c r="T48">
        <v>8.1667480470000005</v>
      </c>
      <c r="U48">
        <v>248.14358519999999</v>
      </c>
      <c r="V48">
        <v>2.719682932</v>
      </c>
      <c r="W48">
        <v>91.239898679999996</v>
      </c>
      <c r="X48">
        <v>251.83134459999999</v>
      </c>
      <c r="Y48">
        <v>1.85700047</v>
      </c>
      <c r="Z48">
        <v>135.6118927</v>
      </c>
      <c r="AA48">
        <v>200</v>
      </c>
      <c r="AB48">
        <v>100</v>
      </c>
      <c r="AC48">
        <v>20000</v>
      </c>
      <c r="AD48" t="s">
        <v>30</v>
      </c>
    </row>
    <row r="49" spans="1:30" x14ac:dyDescent="0.25">
      <c r="A49">
        <v>9</v>
      </c>
      <c r="B49">
        <v>2</v>
      </c>
      <c r="C49">
        <v>19</v>
      </c>
      <c r="D49">
        <v>728</v>
      </c>
      <c r="E49">
        <v>233.62202450000001</v>
      </c>
      <c r="F49">
        <v>64.72424316</v>
      </c>
      <c r="G49">
        <v>654145956.20000005</v>
      </c>
      <c r="H49" s="1">
        <v>9.8900000000000005E-8</v>
      </c>
      <c r="I49">
        <v>291.54736329999997</v>
      </c>
      <c r="J49">
        <v>292.20428470000002</v>
      </c>
      <c r="K49">
        <v>664.39929199999995</v>
      </c>
      <c r="L49">
        <v>666.13000490000002</v>
      </c>
      <c r="M49">
        <v>669.1170654</v>
      </c>
      <c r="N49">
        <v>200</v>
      </c>
      <c r="O49">
        <v>238.3609467</v>
      </c>
      <c r="P49">
        <v>25.775951389999999</v>
      </c>
      <c r="Q49">
        <v>9.2474164959999996</v>
      </c>
      <c r="R49">
        <v>239.33334350000001</v>
      </c>
      <c r="S49">
        <v>25.546863559999998</v>
      </c>
      <c r="T49">
        <v>9.3684043880000001</v>
      </c>
      <c r="U49">
        <v>248.14358519999999</v>
      </c>
      <c r="V49">
        <v>2.719682932</v>
      </c>
      <c r="W49">
        <v>91.239898679999996</v>
      </c>
      <c r="X49">
        <v>251.83134459999999</v>
      </c>
      <c r="Y49">
        <v>1.85700047</v>
      </c>
      <c r="Z49">
        <v>135.6118927</v>
      </c>
      <c r="AA49">
        <v>200</v>
      </c>
      <c r="AB49">
        <v>100</v>
      </c>
      <c r="AC49">
        <v>20000</v>
      </c>
      <c r="AD49" t="s">
        <v>30</v>
      </c>
    </row>
    <row r="50" spans="1:30" x14ac:dyDescent="0.25">
      <c r="A50">
        <v>9</v>
      </c>
      <c r="B50">
        <v>3</v>
      </c>
      <c r="C50">
        <v>19</v>
      </c>
      <c r="D50">
        <v>896</v>
      </c>
      <c r="E50">
        <v>226.19163510000001</v>
      </c>
      <c r="F50">
        <v>71.152282709999994</v>
      </c>
      <c r="G50">
        <v>1699310234</v>
      </c>
      <c r="H50" s="1">
        <v>4.1899999999999998E-8</v>
      </c>
      <c r="I50">
        <v>325.6419373</v>
      </c>
      <c r="J50">
        <v>326.69955440000001</v>
      </c>
      <c r="K50">
        <v>581.61657709999997</v>
      </c>
      <c r="L50">
        <v>666.13000490000002</v>
      </c>
      <c r="M50">
        <v>669.1170654</v>
      </c>
      <c r="N50">
        <v>200</v>
      </c>
      <c r="O50">
        <v>263.91894530000002</v>
      </c>
      <c r="P50">
        <v>24.116785050000001</v>
      </c>
      <c r="Q50">
        <v>10.943371770000001</v>
      </c>
      <c r="R50">
        <v>264.84304809999998</v>
      </c>
      <c r="S50">
        <v>24.000822070000002</v>
      </c>
      <c r="T50">
        <v>11.03474903</v>
      </c>
      <c r="U50">
        <v>248.14358519999999</v>
      </c>
      <c r="V50">
        <v>2.719682932</v>
      </c>
      <c r="W50">
        <v>91.239898679999996</v>
      </c>
      <c r="X50">
        <v>251.83134459999999</v>
      </c>
      <c r="Y50">
        <v>1.85700047</v>
      </c>
      <c r="Z50">
        <v>135.6118927</v>
      </c>
      <c r="AA50">
        <v>200</v>
      </c>
      <c r="AB50">
        <v>100</v>
      </c>
      <c r="AC50">
        <v>20000</v>
      </c>
      <c r="AD50" t="s">
        <v>30</v>
      </c>
    </row>
    <row r="51" spans="1:30" x14ac:dyDescent="0.25">
      <c r="A51">
        <v>9</v>
      </c>
      <c r="B51">
        <v>4</v>
      </c>
      <c r="C51">
        <v>19</v>
      </c>
      <c r="D51">
        <v>1064</v>
      </c>
      <c r="E51">
        <v>230.37390139999999</v>
      </c>
      <c r="F51">
        <v>85.054313660000005</v>
      </c>
      <c r="G51">
        <v>197975439.40000001</v>
      </c>
      <c r="H51" s="1">
        <v>4.3000000000000001E-7</v>
      </c>
      <c r="I51">
        <v>280.19702150000001</v>
      </c>
      <c r="J51">
        <v>280.52670289999998</v>
      </c>
      <c r="K51">
        <v>1039.0573730000001</v>
      </c>
      <c r="L51">
        <v>666.13000490000002</v>
      </c>
      <c r="M51">
        <v>669.1170654</v>
      </c>
      <c r="N51">
        <v>200</v>
      </c>
      <c r="O51">
        <v>225.3244019</v>
      </c>
      <c r="P51">
        <v>32.234451290000003</v>
      </c>
      <c r="Q51">
        <v>6.9901733400000001</v>
      </c>
      <c r="R51">
        <v>225.5234528</v>
      </c>
      <c r="S51">
        <v>32.152038570000002</v>
      </c>
      <c r="T51">
        <v>7.0142817500000003</v>
      </c>
      <c r="U51">
        <v>248.14358519999999</v>
      </c>
      <c r="V51">
        <v>2.719682932</v>
      </c>
      <c r="W51">
        <v>91.239898679999996</v>
      </c>
      <c r="X51">
        <v>251.83134459999999</v>
      </c>
      <c r="Y51">
        <v>1.85700047</v>
      </c>
      <c r="Z51">
        <v>135.6118927</v>
      </c>
      <c r="AA51">
        <v>200</v>
      </c>
      <c r="AB51">
        <v>100</v>
      </c>
      <c r="AC51">
        <v>20000</v>
      </c>
      <c r="AD51" t="s">
        <v>30</v>
      </c>
    </row>
    <row r="52" spans="1:30" x14ac:dyDescent="0.25">
      <c r="H52" s="1"/>
    </row>
    <row r="53" spans="1:30" x14ac:dyDescent="0.25">
      <c r="H53" s="1"/>
    </row>
    <row r="54" spans="1:30" s="2" customFormat="1" x14ac:dyDescent="0.25">
      <c r="E54" s="2" t="s">
        <v>4</v>
      </c>
      <c r="F54" s="2" t="s">
        <v>5</v>
      </c>
      <c r="G54" s="2" t="s">
        <v>6</v>
      </c>
      <c r="H54" s="2" t="s">
        <v>7</v>
      </c>
      <c r="I54" s="2" t="s">
        <v>8</v>
      </c>
      <c r="J54" s="2" t="s">
        <v>9</v>
      </c>
      <c r="K54" s="2" t="s">
        <v>10</v>
      </c>
      <c r="L54" s="2" t="s">
        <v>11</v>
      </c>
      <c r="M54" s="2" t="s">
        <v>12</v>
      </c>
      <c r="N54" s="2" t="s">
        <v>13</v>
      </c>
      <c r="O54" s="2" t="s">
        <v>14</v>
      </c>
      <c r="P54" s="2" t="s">
        <v>15</v>
      </c>
      <c r="Q54" s="2" t="s">
        <v>16</v>
      </c>
      <c r="R54" s="2" t="s">
        <v>17</v>
      </c>
      <c r="S54" s="2" t="s">
        <v>18</v>
      </c>
      <c r="T54" s="2" t="s">
        <v>19</v>
      </c>
      <c r="U54" s="2" t="s">
        <v>20</v>
      </c>
      <c r="V54" s="2" t="s">
        <v>21</v>
      </c>
      <c r="W54" s="2" t="s">
        <v>22</v>
      </c>
      <c r="X54" s="2" t="s">
        <v>23</v>
      </c>
      <c r="Y54" s="2" t="s">
        <v>24</v>
      </c>
      <c r="Z54" s="2" t="s">
        <v>25</v>
      </c>
      <c r="AA54" s="2" t="s">
        <v>26</v>
      </c>
      <c r="AB54" s="2" t="s">
        <v>27</v>
      </c>
      <c r="AC54" s="2" t="s">
        <v>28</v>
      </c>
      <c r="AD54" s="2" t="s">
        <v>29</v>
      </c>
    </row>
    <row r="55" spans="1:30" ht="18.75" x14ac:dyDescent="0.3">
      <c r="A55" s="4" t="s">
        <v>34</v>
      </c>
      <c r="B55" s="4"/>
      <c r="C55" s="4"/>
      <c r="D55" s="4"/>
      <c r="E55" s="3">
        <f>MIN(E2:E51)</f>
        <v>200.99777219999999</v>
      </c>
      <c r="F55" s="3">
        <f t="shared" ref="F55:Z55" si="0">MIN(F2:F51)</f>
        <v>38.555507660000004</v>
      </c>
      <c r="G55" s="3">
        <f t="shared" si="0"/>
        <v>74941241.069999993</v>
      </c>
      <c r="H55" s="3">
        <f t="shared" si="0"/>
        <v>4.1899999999999998E-8</v>
      </c>
      <c r="I55" s="3">
        <f t="shared" si="0"/>
        <v>277.79220579999998</v>
      </c>
      <c r="J55" s="3">
        <f t="shared" si="0"/>
        <v>278.35351559999998</v>
      </c>
      <c r="K55" s="3">
        <f t="shared" si="0"/>
        <v>581.61657709999997</v>
      </c>
      <c r="L55" s="3">
        <f t="shared" si="0"/>
        <v>666.13000490000002</v>
      </c>
      <c r="M55" s="3">
        <f t="shared" si="0"/>
        <v>669.1170654</v>
      </c>
      <c r="N55" s="3">
        <f t="shared" si="0"/>
        <v>200</v>
      </c>
      <c r="O55" s="3">
        <f t="shared" si="0"/>
        <v>209.0386963</v>
      </c>
      <c r="P55" s="3">
        <f t="shared" si="0"/>
        <v>24.116785050000001</v>
      </c>
      <c r="Q55" s="3">
        <f t="shared" si="0"/>
        <v>4.888385296</v>
      </c>
      <c r="R55" s="3">
        <f t="shared" si="0"/>
        <v>209.3771667</v>
      </c>
      <c r="S55" s="3">
        <f t="shared" si="0"/>
        <v>24.000822070000002</v>
      </c>
      <c r="T55" s="3">
        <f t="shared" si="0"/>
        <v>4.9044151310000004</v>
      </c>
      <c r="U55" s="3">
        <f t="shared" si="0"/>
        <v>248.14358519999999</v>
      </c>
      <c r="V55" s="3">
        <f t="shared" si="0"/>
        <v>2.719682932</v>
      </c>
      <c r="W55" s="3">
        <f t="shared" si="0"/>
        <v>91.239898679999996</v>
      </c>
      <c r="X55" s="3">
        <f t="shared" si="0"/>
        <v>251.83134459999999</v>
      </c>
      <c r="Y55" s="3">
        <f t="shared" si="0"/>
        <v>1.85700047</v>
      </c>
      <c r="Z55" s="3">
        <f t="shared" si="0"/>
        <v>135.6118927</v>
      </c>
      <c r="AA55">
        <v>200</v>
      </c>
      <c r="AB55">
        <v>100</v>
      </c>
      <c r="AC55">
        <v>20000</v>
      </c>
    </row>
    <row r="56" spans="1:30" ht="18.75" x14ac:dyDescent="0.3">
      <c r="A56" s="4" t="s">
        <v>31</v>
      </c>
      <c r="B56" s="4"/>
      <c r="C56" s="4"/>
      <c r="D56" s="4"/>
      <c r="E56" s="3">
        <f>AVERAGE(E2:E51)</f>
        <v>225.90511535399997</v>
      </c>
      <c r="F56" s="3">
        <f t="shared" ref="F56:Z56" si="1">AVERAGE(F2:F51)</f>
        <v>64.356841659799997</v>
      </c>
      <c r="G56" s="3">
        <f t="shared" si="1"/>
        <v>311888257.20700002</v>
      </c>
      <c r="H56" s="3">
        <f t="shared" si="1"/>
        <v>3.1659999999999991E-7</v>
      </c>
      <c r="I56" s="3">
        <f t="shared" si="1"/>
        <v>308.54597167200006</v>
      </c>
      <c r="J56" s="3">
        <f t="shared" si="1"/>
        <v>309.28522887599996</v>
      </c>
      <c r="K56" s="3">
        <f t="shared" si="1"/>
        <v>1311.5835168360002</v>
      </c>
      <c r="L56" s="3">
        <f t="shared" si="1"/>
        <v>666.13000489999922</v>
      </c>
      <c r="M56" s="3">
        <f t="shared" si="1"/>
        <v>669.11706540000068</v>
      </c>
      <c r="N56" s="3">
        <f t="shared" si="1"/>
        <v>200</v>
      </c>
      <c r="O56" s="3">
        <f t="shared" si="1"/>
        <v>241.05446503000007</v>
      </c>
      <c r="P56" s="3">
        <f t="shared" si="1"/>
        <v>35.744893226400002</v>
      </c>
      <c r="Q56" s="3">
        <f t="shared" si="1"/>
        <v>6.9413920688400017</v>
      </c>
      <c r="R56" s="3">
        <f t="shared" si="1"/>
        <v>241.71171690999995</v>
      </c>
      <c r="S56" s="3">
        <f t="shared" si="1"/>
        <v>35.636401024199976</v>
      </c>
      <c r="T56" s="3">
        <f t="shared" si="1"/>
        <v>6.9832022667200002</v>
      </c>
      <c r="U56" s="3">
        <f t="shared" si="1"/>
        <v>248.14358519999999</v>
      </c>
      <c r="V56" s="3">
        <f t="shared" si="1"/>
        <v>2.7196829319999996</v>
      </c>
      <c r="W56" s="3">
        <f t="shared" si="1"/>
        <v>91.239898679999939</v>
      </c>
      <c r="X56" s="3">
        <f t="shared" si="1"/>
        <v>251.83134459999982</v>
      </c>
      <c r="Y56" s="3">
        <f t="shared" si="1"/>
        <v>1.8570004700000016</v>
      </c>
      <c r="Z56" s="3">
        <f t="shared" si="1"/>
        <v>135.61189269999986</v>
      </c>
      <c r="AA56">
        <v>200</v>
      </c>
      <c r="AB56">
        <v>100</v>
      </c>
      <c r="AC56">
        <v>20000</v>
      </c>
    </row>
    <row r="57" spans="1:30" ht="18.75" x14ac:dyDescent="0.3">
      <c r="A57" s="4" t="s">
        <v>32</v>
      </c>
      <c r="B57" s="4"/>
      <c r="C57" s="4"/>
      <c r="D57" s="4"/>
      <c r="E57" s="3">
        <f>MEDIAN(E2:E51)</f>
        <v>226.42697905</v>
      </c>
      <c r="F57" s="3">
        <f t="shared" ref="F57:Z57" si="2">MEDIAN(F2:F51)</f>
        <v>60.348176955</v>
      </c>
      <c r="G57" s="3">
        <f t="shared" si="2"/>
        <v>217396706.94999999</v>
      </c>
      <c r="H57" s="3">
        <f t="shared" si="2"/>
        <v>2.7749999999999999E-7</v>
      </c>
      <c r="I57" s="3">
        <f t="shared" si="2"/>
        <v>307.94932555000003</v>
      </c>
      <c r="J57" s="3">
        <f t="shared" si="2"/>
        <v>308.8191071</v>
      </c>
      <c r="K57" s="3">
        <f t="shared" si="2"/>
        <v>1305.3748780000001</v>
      </c>
      <c r="L57" s="3">
        <f t="shared" si="2"/>
        <v>666.13000490000002</v>
      </c>
      <c r="M57" s="3">
        <f t="shared" si="2"/>
        <v>669.1170654</v>
      </c>
      <c r="N57" s="3">
        <f t="shared" si="2"/>
        <v>200</v>
      </c>
      <c r="O57" s="3">
        <f t="shared" si="2"/>
        <v>239.28128049999998</v>
      </c>
      <c r="P57" s="3">
        <f t="shared" si="2"/>
        <v>36.129928589999999</v>
      </c>
      <c r="Q57" s="3">
        <f t="shared" si="2"/>
        <v>6.7075943945000001</v>
      </c>
      <c r="R57" s="3">
        <f t="shared" si="2"/>
        <v>240.04297639999999</v>
      </c>
      <c r="S57" s="3">
        <f t="shared" si="2"/>
        <v>35.947307590000001</v>
      </c>
      <c r="T57" s="3">
        <f t="shared" si="2"/>
        <v>6.7549540994999999</v>
      </c>
      <c r="U57" s="3">
        <f t="shared" si="2"/>
        <v>248.14358519999999</v>
      </c>
      <c r="V57" s="3">
        <f t="shared" si="2"/>
        <v>2.719682932</v>
      </c>
      <c r="W57" s="3">
        <f t="shared" si="2"/>
        <v>91.239898679999996</v>
      </c>
      <c r="X57" s="3">
        <f t="shared" si="2"/>
        <v>251.83134459999999</v>
      </c>
      <c r="Y57" s="3">
        <f t="shared" si="2"/>
        <v>1.85700047</v>
      </c>
      <c r="Z57" s="3">
        <f t="shared" si="2"/>
        <v>135.6118927</v>
      </c>
      <c r="AA57">
        <v>200</v>
      </c>
      <c r="AB57">
        <v>100</v>
      </c>
      <c r="AC57">
        <v>20000</v>
      </c>
    </row>
    <row r="58" spans="1:30" ht="18.75" x14ac:dyDescent="0.3">
      <c r="A58" s="4" t="s">
        <v>35</v>
      </c>
      <c r="B58" s="4"/>
      <c r="C58" s="4"/>
      <c r="D58" s="4"/>
      <c r="E58" s="3">
        <f>MAX(E2:E51)</f>
        <v>246.3655243</v>
      </c>
      <c r="F58" s="3">
        <f t="shared" ref="F58:Z58" si="3">MAX(F2:F51)</f>
        <v>98.296493530000006</v>
      </c>
      <c r="G58" s="3">
        <f t="shared" si="3"/>
        <v>1699310234</v>
      </c>
      <c r="H58" s="3">
        <f t="shared" si="3"/>
        <v>9.2600000000000001E-7</v>
      </c>
      <c r="I58" s="3">
        <f t="shared" si="3"/>
        <v>337.97781370000001</v>
      </c>
      <c r="J58" s="3">
        <f t="shared" si="3"/>
        <v>338.73898320000001</v>
      </c>
      <c r="K58" s="3">
        <f t="shared" si="3"/>
        <v>2292.436279</v>
      </c>
      <c r="L58" s="3">
        <f t="shared" si="3"/>
        <v>666.13000490000002</v>
      </c>
      <c r="M58" s="3">
        <f t="shared" si="3"/>
        <v>669.1170654</v>
      </c>
      <c r="N58" s="3">
        <f t="shared" si="3"/>
        <v>200</v>
      </c>
      <c r="O58" s="3">
        <f t="shared" si="3"/>
        <v>264.79266360000003</v>
      </c>
      <c r="P58" s="3">
        <f t="shared" si="3"/>
        <v>47.879360200000001</v>
      </c>
      <c r="Q58" s="3">
        <f t="shared" si="3"/>
        <v>10.943371770000001</v>
      </c>
      <c r="R58" s="3">
        <f t="shared" si="3"/>
        <v>265.94296259999999</v>
      </c>
      <c r="S58" s="3">
        <f t="shared" si="3"/>
        <v>47.82089233</v>
      </c>
      <c r="T58" s="3">
        <f t="shared" si="3"/>
        <v>11.03474903</v>
      </c>
      <c r="U58" s="3">
        <f t="shared" si="3"/>
        <v>248.14358519999999</v>
      </c>
      <c r="V58" s="3">
        <f t="shared" si="3"/>
        <v>2.719682932</v>
      </c>
      <c r="W58" s="3">
        <f t="shared" si="3"/>
        <v>91.239898679999996</v>
      </c>
      <c r="X58" s="3">
        <f t="shared" si="3"/>
        <v>251.83134459999999</v>
      </c>
      <c r="Y58" s="3">
        <f t="shared" si="3"/>
        <v>1.85700047</v>
      </c>
      <c r="Z58" s="3">
        <f t="shared" si="3"/>
        <v>135.6118927</v>
      </c>
      <c r="AA58">
        <v>200</v>
      </c>
      <c r="AB58">
        <v>100</v>
      </c>
      <c r="AC58">
        <v>20000</v>
      </c>
    </row>
    <row r="59" spans="1:30" ht="18.75" x14ac:dyDescent="0.3">
      <c r="A59" s="4" t="s">
        <v>33</v>
      </c>
      <c r="B59" s="4"/>
      <c r="C59" s="4"/>
      <c r="D59" s="4"/>
      <c r="E59" s="3">
        <f>_xlfn.STDEV.P(E2:E51)</f>
        <v>10.69660414176359</v>
      </c>
      <c r="F59" s="3">
        <f t="shared" ref="F59:Z59" si="4">_xlfn.STDEV.P(F2:F51)</f>
        <v>16.051018369342959</v>
      </c>
      <c r="G59" s="3">
        <f t="shared" si="4"/>
        <v>296372191.09602922</v>
      </c>
      <c r="H59" s="3">
        <f t="shared" si="4"/>
        <v>1.7514638106452555E-7</v>
      </c>
      <c r="I59" s="3">
        <f t="shared" si="4"/>
        <v>11.874584029627833</v>
      </c>
      <c r="J59" s="3">
        <f t="shared" si="4"/>
        <v>12.016354409830312</v>
      </c>
      <c r="K59" s="3">
        <f t="shared" si="4"/>
        <v>421.80201599274335</v>
      </c>
      <c r="L59" s="3">
        <f t="shared" si="4"/>
        <v>7.9580786405131221E-13</v>
      </c>
      <c r="M59" s="3">
        <f t="shared" si="4"/>
        <v>6.8212102632969618E-13</v>
      </c>
      <c r="N59" s="3">
        <f t="shared" si="4"/>
        <v>0</v>
      </c>
      <c r="O59" s="3">
        <f t="shared" si="4"/>
        <v>12.252936529152809</v>
      </c>
      <c r="P59" s="3">
        <f t="shared" si="4"/>
        <v>5.8211727499096302</v>
      </c>
      <c r="Q59" s="3">
        <f t="shared" si="4"/>
        <v>1.3011406015516405</v>
      </c>
      <c r="R59" s="3">
        <f t="shared" si="4"/>
        <v>12.441681936910886</v>
      </c>
      <c r="S59" s="3">
        <f t="shared" si="4"/>
        <v>5.8243000027767806</v>
      </c>
      <c r="T59" s="3">
        <f t="shared" si="4"/>
        <v>1.3165784515307775</v>
      </c>
      <c r="U59" s="3">
        <f t="shared" si="4"/>
        <v>0</v>
      </c>
      <c r="V59" s="3">
        <f t="shared" si="4"/>
        <v>4.4408920985006262E-16</v>
      </c>
      <c r="W59" s="3">
        <f t="shared" si="4"/>
        <v>5.6843418860808015E-14</v>
      </c>
      <c r="X59" s="3">
        <f t="shared" si="4"/>
        <v>1.7053025658242404E-13</v>
      </c>
      <c r="Y59" s="3">
        <f t="shared" si="4"/>
        <v>1.5543122344752192E-15</v>
      </c>
      <c r="Z59" s="3">
        <f t="shared" si="4"/>
        <v>1.4210854715202004E-13</v>
      </c>
      <c r="AA59">
        <v>0</v>
      </c>
      <c r="AB59">
        <v>0</v>
      </c>
      <c r="AC59">
        <v>0</v>
      </c>
    </row>
  </sheetData>
  <mergeCells count="5">
    <mergeCell ref="A55:D55"/>
    <mergeCell ref="A56:D56"/>
    <mergeCell ref="A57:D57"/>
    <mergeCell ref="A58:D58"/>
    <mergeCell ref="A59:D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grad_norm_nested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Abhigyan Majumdar</cp:lastModifiedBy>
  <dcterms:created xsi:type="dcterms:W3CDTF">2026-02-11T20:16:51Z</dcterms:created>
  <dcterms:modified xsi:type="dcterms:W3CDTF">2026-02-11T20:32:58Z</dcterms:modified>
</cp:coreProperties>
</file>